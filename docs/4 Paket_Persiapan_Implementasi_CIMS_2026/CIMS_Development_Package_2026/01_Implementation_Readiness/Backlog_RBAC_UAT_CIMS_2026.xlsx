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6161d0008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a7fcfe6e9ec14927"/>
    <x:sheet xmlns:r="http://schemas.openxmlformats.org/officeDocument/2006/relationships" name="Product Backlog" sheetId="2" r:id="Rd936cffa508141f5"/>
    <x:sheet xmlns:r="http://schemas.openxmlformats.org/officeDocument/2006/relationships" name="Sprint Plan" sheetId="3" r:id="Rc2b70b55dce34180"/>
    <x:sheet xmlns:r="http://schemas.openxmlformats.org/officeDocument/2006/relationships" name="Traceability" sheetId="4" r:id="R9d12c7da8faf46e4"/>
    <x:sheet xmlns:r="http://schemas.openxmlformats.org/officeDocument/2006/relationships" name="RBAC Matrix" sheetId="5" r:id="Rae37a25f51e44aba"/>
    <x:sheet xmlns:r="http://schemas.openxmlformats.org/officeDocument/2006/relationships" name="UAT Cases" sheetId="6" r:id="R434b91c10e964bac"/>
    <x:sheet xmlns:r="http://schemas.openxmlformats.org/officeDocument/2006/relationships" name="Risk Register" sheetId="7" r:id="Rfc30b016959f478f"/>
    <x:sheet xmlns:r="http://schemas.openxmlformats.org/officeDocument/2006/relationships" name="DoR_DoD" sheetId="8" r:id="Rdd4daf3df2a8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2A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2a60b98184d93" /><Relationship Type="http://schemas.openxmlformats.org/officeDocument/2006/relationships/theme" Target="/xl/theme/theme1.xml" Id="Rf53a9b0165a24b47" /><Relationship Type="http://schemas.openxmlformats.org/officeDocument/2006/relationships/sharedStrings" Target="/xl/sharedStrings.xml" Id="R579b62efdb244023" /><Relationship Type="http://schemas.openxmlformats.org/officeDocument/2006/relationships/worksheet" Target="/xl/worksheets/sheet1.xml" Id="Ra7fcfe6e9ec14927" /><Relationship Type="http://schemas.openxmlformats.org/officeDocument/2006/relationships/worksheet" Target="/xl/worksheets/sheet2.xml" Id="Rd936cffa508141f5" /><Relationship Type="http://schemas.openxmlformats.org/officeDocument/2006/relationships/worksheet" Target="/xl/worksheets/sheet3.xml" Id="Rc2b70b55dce34180" /><Relationship Type="http://schemas.openxmlformats.org/officeDocument/2006/relationships/worksheet" Target="/xl/worksheets/sheet4.xml" Id="R9d12c7da8faf46e4" /><Relationship Type="http://schemas.openxmlformats.org/officeDocument/2006/relationships/worksheet" Target="/xl/worksheets/sheet5.xml" Id="Rae37a25f51e44aba" /><Relationship Type="http://schemas.openxmlformats.org/officeDocument/2006/relationships/worksheet" Target="/xl/worksheets/sheet6.xml" Id="R434b91c10e964bac" /><Relationship Type="http://schemas.openxmlformats.org/officeDocument/2006/relationships/worksheet" Target="/xl/worksheets/sheet7.xml" Id="Rfc30b016959f478f" /><Relationship Type="http://schemas.openxmlformats.org/officeDocument/2006/relationships/worksheet" Target="/xl/worksheets/sheet8.xml" Id="Rdd4daf3df2a84a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c469d4d1494a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Story Points per Sprint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Story Points</c:v>
          </c:tx>
          <c:cat>
            <c:strRef>
              <c:f>'Roadmap'!$A$12:$A$24</c:f>
              <c:strCache>
                <c:ptCount val="0"/>
              </c:strCache>
            </c:strRef>
          </c:cat>
          <c:val>
            <c:numRef>
              <c:f>'Roadmap'!$B$12:$B$24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c469d4d1494a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1:L83" headerRowCount="1">
  <x:tableColumns count="12">
    <x:tableColumn id="1" name="Backlog ID"/>
    <x:tableColumn id="2" name="Epic"/>
    <x:tableColumn id="3" name="User Story"/>
    <x:tableColumn id="4" name="SRS Requirement"/>
    <x:tableColumn id="5" name="Requirement Detail"/>
    <x:tableColumn id="6" name="Priority"/>
    <x:tableColumn id="7" name="Planned Sprint"/>
    <x:tableColumn id="8" name="Story Points"/>
    <x:tableColumn id="9" name="Dependencies"/>
    <x:tableColumn id="10" name="Acceptance Summary"/>
    <x:tableColumn id="11" name="Owner"/>
    <x:tableColumn id="12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printPlanTable" displayName="SprintPlanTable" ref="A1:H14" headerRowCount="1">
  <x:tableColumns count="8">
    <x:tableColumn id="1" name="Sprint"/>
    <x:tableColumn id="2" name="Goal"/>
    <x:tableColumn id="3" name="Planned Items"/>
    <x:tableColumn id="4" name="Story Points"/>
    <x:tableColumn id="5" name="Gate"/>
    <x:tableColumn id="6" name="Demo Scenario"/>
    <x:tableColumn id="7" name="Primary Owner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raceabilityTable" displayName="TraceabilityTable" ref="A1:H83" headerRowCount="1">
  <x:tableColumns count="8">
    <x:tableColumn id="1" name="Backlog ID"/>
    <x:tableColumn id="2" name="SRS FR"/>
    <x:tableColumn id="3" name="BRD"/>
    <x:tableColumn id="4" name="SOP or BPMN Domain"/>
    <x:tableColumn id="5" name="ERD Entity"/>
    <x:tableColumn id="6" name="UAT"/>
    <x:tableColumn id="7" name="Planned Sprint"/>
    <x:tableColumn id="8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UATCasesTable" displayName="UATCasesTable" ref="A1:H15" headerRowCount="1">
  <x:tableColumns count="8">
    <x:tableColumn id="1" name="UAT ID"/>
    <x:tableColumn id="2" name="Scenario"/>
    <x:tableColumn id="3" name="Precondition"/>
    <x:tableColumn id="4" name="Main Steps"/>
    <x:tableColumn id="5" name="Expected Result"/>
    <x:tableColumn id="6" name="Primary Owner"/>
    <x:tableColumn id="7" name="Evidence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iskRegisterTable" displayName="RiskRegisterTable" ref="A1:J13" headerRowCount="1">
  <x:tableColumns count="10">
    <x:tableColumn id="1" name="Risk ID"/>
    <x:tableColumn id="2" name="Risk"/>
    <x:tableColumn id="3" name="Category"/>
    <x:tableColumn id="4" name="Probability"/>
    <x:tableColumn id="5" name="Impact"/>
    <x:tableColumn id="6" name="Score"/>
    <x:tableColumn id="7" name="Rating"/>
    <x:tableColumn id="8" name="Mitigation"/>
    <x:tableColumn id="9" name="Owner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DoRDoDTable" displayName="DoRDoDTable" ref="A1:G15" headerRowCount="1">
  <x:tableColumns count="7">
    <x:tableColumn id="1" name="Checklist ID"/>
    <x:tableColumn id="2" name="Type"/>
    <x:tableColumn id="3" name="Checklist Item"/>
    <x:tableColumn id="4" name="Mandatory"/>
    <x:tableColumn id="5" name="Owner"/>
    <x:tableColumn id="6" name="Evidenc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f3d4fb9bdc40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1a29b83cef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45b22a2c4343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5e056c7b624c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51208f7d4545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f8263a998f247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088724b68c6465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2" hidden="0" customWidth="1"/>
    <x:col min="5" max="5" width="28" hidden="0" customWidth="1"/>
    <x:col min="6" max="6" width="44" hidden="0" customWidth="1"/>
    <x:col min="7" max="7" width="10" hidden="0" customWidth="1"/>
  </x:cols>
  <x:sheetData>
    <x:row r="1">
      <x:c r="A1" s="16" t="str">
        <x:v>CIMS IMPLEMENTATION READINESS DASHBOARD</x:v>
      </x:c>
      <x:c r="B1" s="16"/>
      <x:c r="C1" s="16"/>
      <x:c r="D1" s="16"/>
      <x:c r="E1" s="16"/>
      <x:c r="F1" s="16"/>
      <x:c r="G1" s="16"/>
      <x:c r="H1" s="16"/>
    </x:row>
    <x:row r="3">
      <x:c r="A3" s="6" t="str">
        <x:v>KPI</x:v>
      </x:c>
      <x:c r="B3" s="6" t="str">
        <x:v>Nilai</x:v>
      </x:c>
      <x:c r="D3" s="6" t="str">
        <x:v>Sprint</x:v>
      </x:c>
      <x:c r="E3" s="6" t="str">
        <x:v>Fokus</x:v>
      </x:c>
      <x:c r="F3" s="6" t="str">
        <x:v>Keluaran</x:v>
      </x:c>
      <x:c r="G3" s="6" t="str">
        <x:v>Gate</x:v>
      </x:c>
    </x:row>
    <x:row r="4">
      <x:c r="A4" s="26" t="str">
        <x:v>Total Backlog</x:v>
      </x:c>
      <x:c r="B4" s="12" t="n">
        <x:f>COUNTA('Product Backlog'!A2:A83)</x:f>
        <x:v>82</x:v>
      </x:c>
      <x:c r="D4" s="12" t="str">
        <x:v>Sprint 0</x:v>
      </x:c>
      <x:c r="E4" s="12" t="str">
        <x:v>Foundation and Governance</x:v>
      </x:c>
      <x:c r="F4" s="12" t="str">
        <x:v>Repo, CI/CD, environment, ADR, data classification, seed strategy</x:v>
      </x:c>
      <x:c r="G4" s="12" t="str">
        <x:v>G3</x:v>
      </x:c>
    </x:row>
    <x:row r="5">
      <x:c r="A5" s="26" t="str">
        <x:v>MUST Items</x:v>
      </x:c>
      <x:c r="B5" s="12" t="n">
        <x:f>COUNTIF('Product Backlog'!F2:F83,"MUST")</x:f>
        <x:v>82</x:v>
      </x:c>
      <x:c r="D5" s="12" t="str">
        <x:v>Sprint 1</x:v>
      </x:c>
      <x:c r="E5" s="12" t="str">
        <x:v>IAM and Organization</x:v>
      </x:c>
      <x:c r="F5" s="12" t="str">
        <x:v>MFA, role, permission, assignment, delegation</x:v>
      </x:c>
      <x:c r="G5" s="12" t="str">
        <x:v>G3</x:v>
      </x:c>
    </x:row>
    <x:row r="6">
      <x:c r="A6" s="26" t="str">
        <x:v>Total Story Points</x:v>
      </x:c>
      <x:c r="B6" s="12" t="n">
        <x:f>SUM('Product Backlog'!H2:H83)</x:f>
        <x:v>304</x:v>
      </x:c>
      <x:c r="D6" s="12" t="str">
        <x:v>Sprint 2</x:v>
      </x:c>
      <x:c r="E6" s="12" t="str">
        <x:v>Case Reference and Determination</x:v>
      </x:c>
      <x:c r="F6" s="12" t="str">
        <x:v>Reference, request, determination, official reference, hard gate</x:v>
      </x:c>
      <x:c r="G6" s="12" t="str">
        <x:v>G3</x:v>
      </x:c>
    </x:row>
    <x:row r="7">
      <x:c r="A7" s="26" t="str">
        <x:v>Jumlah Sprint</x:v>
      </x:c>
      <x:c r="B7" s="12" t="n">
        <x:v>13</x:v>
      </x:c>
      <x:c r="D7" s="12" t="str">
        <x:v>Sprint 3</x:v>
      </x:c>
      <x:c r="E7" s="12" t="str">
        <x:v>Scheduling Core</x:v>
      </x:c>
      <x:c r="F7" s="12" t="str">
        <x:v>Availability, constraints, proposal, conflict check</x:v>
      </x:c>
      <x:c r="G7" s="12" t="str">
        <x:v>G3</x:v>
      </x:c>
    </x:row>
    <x:row r="8">
      <x:c r="A8" s="26" t="str">
        <x:v>UAT Scenarios</x:v>
      </x:c>
      <x:c r="B8" s="12" t="n">
        <x:v>14</x:v>
      </x:c>
      <x:c r="D8" s="12" t="str">
        <x:v>Sprint 4</x:v>
      </x:c>
      <x:c r="E8" s="12" t="str">
        <x:v>Scheduling Approval and Versioning</x:v>
      </x:c>
      <x:c r="F8" s="12" t="str">
        <x:v>Approval, ACTIVE schedule, reschedule, audit</x:v>
      </x:c>
      <x:c r="G8" s="12" t="str">
        <x:v>G3</x:v>
      </x:c>
    </x:row>
    <x:row r="9">
      <x:c r="D9" s="12" t="str">
        <x:v>Sprint 5</x:v>
      </x:c>
      <x:c r="E9" s="12" t="str">
        <x:v>Notice and Acknowledgment</x:v>
      </x:c>
      <x:c r="F9" s="12" t="str">
        <x:v>Notice chain, attempt, proof, acknowledgment, fallback</x:v>
      </x:c>
      <x:c r="G9" s="12" t="str">
        <x:v>G4</x:v>
      </x:c>
    </x:row>
    <x:row r="10">
      <x:c r="D10" s="12" t="str">
        <x:v>Sprint 6</x:v>
      </x:c>
      <x:c r="E10" s="12" t="str">
        <x:v>Readiness and Verification</x:v>
      </x:c>
      <x:c r="F10" s="12" t="str">
        <x:v>Checklist, technical test, identity, room inspection</x:v>
      </x:c>
      <x:c r="G10" s="12" t="str">
        <x:v>G4</x:v>
      </x:c>
    </x:row>
    <x:row r="11">
      <x:c r="A11" s="6" t="str">
        <x:v>Sprint</x:v>
      </x:c>
      <x:c r="B11" s="6" t="str">
        <x:v>Story Points</x:v>
      </x:c>
      <x:c r="D11" s="12" t="str">
        <x:v>Sprint 7</x:v>
      </x:c>
      <x:c r="E11" s="12" t="str">
        <x:v>Provider Adapter and Session</x:v>
      </x:c>
      <x:c r="F11" s="12" t="str">
        <x:v>Provider mock, session, room, health, webhook</x:v>
      </x:c>
      <x:c r="G11" s="12" t="str">
        <x:v>G4</x:v>
      </x:c>
    </x:row>
    <x:row r="12">
      <x:c r="A12" s="12" t="str">
        <x:v>Sprint 0</x:v>
      </x:c>
      <x:c r="B12" s="12" t="n">
        <x:f>SUMIF('Product Backlog'!G:G,A12,'Product Backlog'!H:H)</x:f>
        <x:v>0</x:v>
      </x:c>
      <x:c r="D12" s="12" t="str">
        <x:v>Sprint 8</x:v>
      </x:c>
      <x:c r="E12" s="12" t="str">
        <x:v>Join and Hearing Control</x:v>
      </x:c>
      <x:c r="F12" s="12" t="str">
        <x:v>Token, waiting room, controls, attendance, state</x:v>
      </x:c>
      <x:c r="G12" s="12" t="str">
        <x:v>G4</x:v>
      </x:c>
    </x:row>
    <x:row r="13">
      <x:c r="A13" s="12" t="str">
        <x:v>Sprint 1</x:v>
      </x:c>
      <x:c r="B13" s="12" t="n">
        <x:f>SUMIF('Product Backlog'!G:G,A13,'Product Backlog'!H:H)</x:f>
        <x:v>14</x:v>
      </x:c>
      <x:c r="D13" s="12" t="str">
        <x:v>Sprint 9</x:v>
      </x:c>
      <x:c r="E13" s="12" t="str">
        <x:v>Incident and Continuity</x:v>
      </x:c>
      <x:c r="F13" s="12" t="str">
        <x:v>Technical, cyber, force majeure, transfer, fallback</x:v>
      </x:c>
      <x:c r="G13" s="12" t="str">
        <x:v>G4</x:v>
      </x:c>
    </x:row>
    <x:row r="14">
      <x:c r="A14" s="12" t="str">
        <x:v>Sprint 2</x:v>
      </x:c>
      <x:c r="B14" s="12" t="n">
        <x:f>SUMIF('Product Backlog'!G:G,A14,'Product Backlog'!H:H)</x:f>
        <x:v>23</x:v>
      </x:c>
      <x:c r="D14" s="12" t="str">
        <x:v>Sprint 10</x:v>
      </x:c>
      <x:c r="E14" s="12" t="str">
        <x:v>Appeal Decision Workflow</x:v>
      </x:c>
      <x:c r="F14" s="12" t="str">
        <x:v>Notice, presence, excerpt, transmission, deadline</x:v>
      </x:c>
      <x:c r="G14" s="12" t="str">
        <x:v>G4</x:v>
      </x:c>
    </x:row>
    <x:row r="15">
      <x:c r="A15" s="12" t="str">
        <x:v>Sprint 3</x:v>
      </x:c>
      <x:c r="B15" s="12" t="n">
        <x:f>SUMIF('Product Backlog'!G:G,A15,'Product Backlog'!H:H)</x:f>
        <x:v>32</x:v>
      </x:c>
      <x:c r="D15" s="12" t="str">
        <x:v>Sprint 11</x:v>
      </x:c>
      <x:c r="E15" s="12" t="str">
        <x:v>Audit, Dashboard, Reconciliation</x:v>
      </x:c>
      <x:c r="F15" s="12" t="str">
        <x:v>Immutable audit, compliance metric, reconciliation</x:v>
      </x:c>
      <x:c r="G15" s="12" t="str">
        <x:v>G4</x:v>
      </x:c>
    </x:row>
    <x:row r="16">
      <x:c r="A16" s="12" t="str">
        <x:v>Sprint 4</x:v>
      </x:c>
      <x:c r="B16" s="12" t="n">
        <x:f>SUMIF('Product Backlog'!G:G,A16,'Product Backlog'!H:H)</x:f>
        <x:v>22</x:v>
      </x:c>
      <x:c r="D16" s="12" t="str">
        <x:v>Sprint 12</x:v>
      </x:c>
      <x:c r="E16" s="12" t="str">
        <x:v>Hardening and Pilot UAT</x:v>
      </x:c>
      <x:c r="F16" s="12" t="str">
        <x:v>Security, performance, resilience, accessibility, training, UAT</x:v>
      </x:c>
      <x:c r="G16" s="12" t="str">
        <x:v>G5</x:v>
      </x:c>
    </x:row>
    <x:row r="17">
      <x:c r="A17" s="12" t="str">
        <x:v>Sprint 5</x:v>
      </x:c>
      <x:c r="B17" s="12" t="n">
        <x:f>SUMIF('Product Backlog'!G:G,A17,'Product Backlog'!H:H)</x:f>
        <x:v>20</x:v>
      </x:c>
    </x:row>
    <x:row r="18">
      <x:c r="A18" s="12" t="str">
        <x:v>Sprint 6</x:v>
      </x:c>
      <x:c r="B18" s="12" t="n">
        <x:f>SUMIF('Product Backlog'!G:G,A18,'Product Backlog'!H:H)</x:f>
        <x:v>37</x:v>
      </x:c>
    </x:row>
    <x:row r="19">
      <x:c r="A19" s="12" t="str">
        <x:v>Sprint 7</x:v>
      </x:c>
      <x:c r="B19" s="12" t="n">
        <x:f>SUMIF('Product Backlog'!G:G,A19,'Product Backlog'!H:H)</x:f>
        <x:v>65</x:v>
      </x:c>
    </x:row>
    <x:row r="20">
      <x:c r="A20" s="12" t="str">
        <x:v>Sprint 8</x:v>
      </x:c>
      <x:c r="B20" s="12" t="n">
        <x:f>SUMIF('Product Backlog'!G:G,A20,'Product Backlog'!H:H)</x:f>
        <x:v>12</x:v>
      </x:c>
    </x:row>
    <x:row r="21">
      <x:c r="A21" s="12" t="str">
        <x:v>Sprint 9</x:v>
      </x:c>
      <x:c r="B21" s="12" t="n">
        <x:f>SUMIF('Product Backlog'!G:G,A21,'Product Backlog'!H:H)</x:f>
        <x:v>38</x:v>
      </x:c>
    </x:row>
    <x:row r="22">
      <x:c r="A22" s="12" t="str">
        <x:v>Sprint 10</x:v>
      </x:c>
      <x:c r="B22" s="12" t="n">
        <x:f>SUMIF('Product Backlog'!G:G,A22,'Product Backlog'!H:H)</x:f>
        <x:v>18</x:v>
      </x:c>
    </x:row>
    <x:row r="23">
      <x:c r="A23" s="12" t="str">
        <x:v>Sprint 11</x:v>
      </x:c>
      <x:c r="B23" s="12" t="n">
        <x:f>SUMIF('Product Backlog'!G:G,A23,'Product Backlog'!H:H)</x:f>
        <x:v>17</x:v>
      </x:c>
    </x:row>
    <x:row r="24">
      <x:c r="A24" s="12" t="str">
        <x:v>Sprint 12</x:v>
      </x:c>
      <x:c r="B24" s="12" t="n">
        <x:f>SUMIF('Product Backlog'!G:G,A24,'Product Backlog'!H:H)</x:f>
        <x:v>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4f3d4fb9bdc40a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42" hidden="0" customWidth="1"/>
    <x:col min="4" max="4" width="18" hidden="0" customWidth="1"/>
    <x:col min="5" max="5" width="48" hidden="0" customWidth="1"/>
    <x:col min="6" max="6" width="10" hidden="0" customWidth="1"/>
    <x:col min="7" max="7" width="14" hidden="0" customWidth="1"/>
    <x:col min="8" max="8" width="12" hidden="0" customWidth="1"/>
    <x:col min="9" max="9" width="28" hidden="0" customWidth="1"/>
    <x:col min="10" max="10" width="38" hidden="0" customWidth="1"/>
    <x:col min="11" max="11" width="22" hidden="0" customWidth="1"/>
    <x:col min="12" max="12" width="15" hidden="0" customWidth="1"/>
  </x:cols>
  <x:sheetData>
    <x:row r="1">
      <x:c r="A1" s="6" t="str">
        <x:v>Backlog ID</x:v>
      </x:c>
      <x:c r="B1" s="6" t="str">
        <x:v>Epic</x:v>
      </x:c>
      <x:c r="C1" s="6" t="str">
        <x:v>User Story</x:v>
      </x:c>
      <x:c r="D1" s="6" t="str">
        <x:v>SRS Requirement</x:v>
      </x:c>
      <x:c r="E1" s="6" t="str">
        <x:v>Requirement Detail</x:v>
      </x:c>
      <x:c r="F1" s="6" t="str">
        <x:v>Priority</x:v>
      </x:c>
      <x:c r="G1" s="6" t="str">
        <x:v>Planned Sprint</x:v>
      </x:c>
      <x:c r="H1" s="6" t="str">
        <x:v>Story Points</x:v>
      </x:c>
      <x:c r="I1" s="6" t="str">
        <x:v>Dependencies</x:v>
      </x:c>
      <x:c r="J1" s="6" t="str">
        <x:v>Acceptance Summary</x:v>
      </x:c>
      <x:c r="K1" s="6" t="str">
        <x:v>Owner</x:v>
      </x:c>
      <x:c r="L1" s="6" t="str">
        <x:v>Status</x:v>
      </x:c>
    </x:row>
    <x:row r="2">
      <x:c r="A2" s="12" t="str">
        <x:v>PB-001</x:v>
      </x:c>
      <x:c r="B2" s="12" t="str">
        <x:v>IAM</x:v>
      </x:c>
      <x:c r="C2" s="12" t="str">
        <x:v>Sebagai administrator keamanan, saya membutuhkan mfa agar proses persidangan elektronik dapat berjalan sah, aman, dan dapat diaudit.</x:v>
      </x:c>
      <x:c r="D2" s="12" t="str">
        <x:v>FR-IAM-001</x:v>
      </x:c>
      <x:c r="E2" s="12" t="str">
        <x:v>Sistem wajib menerapkan MFA untuk peran sensitif dan akses istimewa.</x:v>
      </x:c>
      <x:c r="F2" s="12" t="str">
        <x:v>MUST</x:v>
      </x:c>
      <x:c r="G2" s="12" t="str">
        <x:v>Sprint 1</x:v>
      </x:c>
      <x:c r="H2" s="12" t="n">
        <x:v>3</x:v>
      </x:c>
      <x:c r="I2" s="12" t="str">
        <x:v>Sprint 0 foundation</x:v>
      </x:c>
      <x:c r="J2" s="12" t="str">
        <x:v>Positive flow, negative authorization, state transition, audit event, error model, dan evidence untuk FR-IAM-001 lulus.</x:v>
      </x:c>
      <x:c r="K2" s="12" t="str">
        <x:v>IAM Lead</x:v>
      </x:c>
      <x:c r="L2" s="12" t="str">
        <x:v>Not Started</x:v>
      </x:c>
    </x:row>
    <x:row r="3">
      <x:c r="A3" s="12" t="str">
        <x:v>PB-002</x:v>
      </x:c>
      <x:c r="B3" s="12" t="str">
        <x:v>IAM</x:v>
      </x:c>
      <x:c r="C3" s="12" t="str">
        <x:v>Sebagai administrator keamanan, saya membutuhkan rbac dan abac agar proses persidangan elektronik dapat berjalan sah, aman, dan dapat diaudit.</x:v>
      </x:c>
      <x:c r="D3" s="12" t="str">
        <x:v>FR-IAM-002</x:v>
      </x:c>
      <x:c r="E3" s="12" t="str">
        <x:v>Akses dievaluasi berdasarkan role, unit, perkara, assignment, dan delegation.</x:v>
      </x:c>
      <x:c r="F3" s="12" t="str">
        <x:v>MUST</x:v>
      </x:c>
      <x:c r="G3" s="12" t="str">
        <x:v>Sprint 1</x:v>
      </x:c>
      <x:c r="H3" s="12" t="n">
        <x:v>5</x:v>
      </x:c>
      <x:c r="I3" s="12" t="str">
        <x:v>Sprint 0 foundation</x:v>
      </x:c>
      <x:c r="J3" s="12" t="str">
        <x:v>Positive flow, negative authorization, state transition, audit event, error model, dan evidence untuk FR-IAM-002 lulus.</x:v>
      </x:c>
      <x:c r="K3" s="12" t="str">
        <x:v>IAM Lead</x:v>
      </x:c>
      <x:c r="L3" s="12" t="str">
        <x:v>Not Started</x:v>
      </x:c>
    </x:row>
    <x:row r="4">
      <x:c r="A4" s="12" t="str">
        <x:v>PB-003</x:v>
      </x:c>
      <x:c r="B4" s="12" t="str">
        <x:v>IAM</x:v>
      </x:c>
      <x:c r="C4" s="12" t="str">
        <x:v>Sebagai administrator keamanan, saya membutuhkan delegation agar proses persidangan elektronik dapat berjalan sah, aman, dan dapat diaudit.</x:v>
      </x:c>
      <x:c r="D4" s="12" t="str">
        <x:v>FR-IAM-003</x:v>
      </x:c>
      <x:c r="E4" s="12" t="str">
        <x:v>Pelimpahan sementara mempunyai pemberi, penerima, scope, alasan, mulai, dan berakhir.</x:v>
      </x:c>
      <x:c r="F4" s="12" t="str">
        <x:v>MUST</x:v>
      </x:c>
      <x:c r="G4" s="12" t="str">
        <x:v>Sprint 1</x:v>
      </x:c>
      <x:c r="H4" s="12" t="n">
        <x:v>3</x:v>
      </x:c>
      <x:c r="I4" s="12" t="str">
        <x:v>Sprint 0 foundation</x:v>
      </x:c>
      <x:c r="J4" s="12" t="str">
        <x:v>Positive flow, negative authorization, state transition, audit event, error model, dan evidence untuk FR-IAM-003 lulus.</x:v>
      </x:c>
      <x:c r="K4" s="12" t="str">
        <x:v>IAM Lead</x:v>
      </x:c>
      <x:c r="L4" s="12" t="str">
        <x:v>Not Started</x:v>
      </x:c>
    </x:row>
    <x:row r="5">
      <x:c r="A5" s="12" t="str">
        <x:v>PB-004</x:v>
      </x:c>
      <x:c r="B5" s="12" t="str">
        <x:v>IAM</x:v>
      </x:c>
      <x:c r="C5" s="12" t="str">
        <x:v>Sebagai administrator keamanan, saya membutuhkan privileged access agar proses persidangan elektronik dapat berjalan sah, aman, dan dapat diaudit.</x:v>
      </x:c>
      <x:c r="D5" s="12" t="str">
        <x:v>FR-IAM-004</x:v>
      </x:c>
      <x:c r="E5" s="12" t="str">
        <x:v>Akses admin istimewa memerlukan reason dan dicatat pada audit log.</x:v>
      </x:c>
      <x:c r="F5" s="12" t="str">
        <x:v>MUST</x:v>
      </x:c>
      <x:c r="G5" s="12" t="str">
        <x:v>Sprint 1</x:v>
      </x:c>
      <x:c r="H5" s="12" t="n">
        <x:v>3</x:v>
      </x:c>
      <x:c r="I5" s="12" t="str">
        <x:v>Sprint 0 foundation</x:v>
      </x:c>
      <x:c r="J5" s="12" t="str">
        <x:v>Positive flow, negative authorization, state transition, audit event, error model, dan evidence untuk FR-IAM-004 lulus.</x:v>
      </x:c>
      <x:c r="K5" s="12" t="str">
        <x:v>IAM Lead</x:v>
      </x:c>
      <x:c r="L5" s="12" t="str">
        <x:v>Not Started</x:v>
      </x:c>
    </x:row>
    <x:row r="6">
      <x:c r="A6" s="12" t="str">
        <x:v>PB-005</x:v>
      </x:c>
      <x:c r="B6" s="12" t="str">
        <x:v>CASE</x:v>
      </x:c>
      <x:c r="C6" s="12" t="str">
        <x:v>Sebagai panitera, saya membutuhkan case reference agar proses persidangan elektronik dapat berjalan sah, aman, dan dapat diaudit.</x:v>
      </x:c>
      <x:c r="D6" s="12" t="str">
        <x:v>FR-CASE-001</x:v>
      </x:c>
      <x:c r="E6" s="12" t="str">
        <x:v>Sistem dapat mengimpor atau memasukkan referensi perkara dari sistem resmi.</x:v>
      </x:c>
      <x:c r="F6" s="12" t="str">
        <x:v>MUST</x:v>
      </x:c>
      <x:c r="G6" s="12" t="str">
        <x:v>Sprint 2</x:v>
      </x:c>
      <x:c r="H6" s="12" t="n">
        <x:v>3</x:v>
      </x:c>
      <x:c r="I6" s="12" t="str">
        <x:v>IAM and organization</x:v>
      </x:c>
      <x:c r="J6" s="12" t="str">
        <x:v>Positive flow, negative authorization, state transition, audit event, error model, dan evidence untuk FR-CASE-001 lulus.</x:v>
      </x:c>
      <x:c r="K6" s="12" t="str">
        <x:v>Backend Lead</x:v>
      </x:c>
      <x:c r="L6" s="12" t="str">
        <x:v>Not Started</x:v>
      </x:c>
    </x:row>
    <x:row r="7">
      <x:c r="A7" s="12" t="str">
        <x:v>PB-006</x:v>
      </x:c>
      <x:c r="B7" s="12" t="str">
        <x:v>CASE</x:v>
      </x:c>
      <x:c r="C7" s="12" t="str">
        <x:v>Sebagai panitera, saya membutuhkan source metadata agar proses persidangan elektronik dapat berjalan sah, aman, dan dapat diaudit.</x:v>
      </x:c>
      <x:c r="D7" s="12" t="str">
        <x:v>FR-CASE-002</x:v>
      </x:c>
      <x:c r="E7" s="12" t="str">
        <x:v>Setiap record menyimpan system code, external ID, last sync, dan reconciliation status.</x:v>
      </x:c>
      <x:c r="F7" s="12" t="str">
        <x:v>MUST</x:v>
      </x:c>
      <x:c r="G7" s="12" t="str">
        <x:v>Sprint 2</x:v>
      </x:c>
      <x:c r="H7" s="12" t="n">
        <x:v>3</x:v>
      </x:c>
      <x:c r="I7" s="12" t="str">
        <x:v>IAM and organization</x:v>
      </x:c>
      <x:c r="J7" s="12" t="str">
        <x:v>Positive flow, negative authorization, state transition, audit event, error model, dan evidence untuk FR-CASE-002 lulus.</x:v>
      </x:c>
      <x:c r="K7" s="12" t="str">
        <x:v>Backend Lead</x:v>
      </x:c>
      <x:c r="L7" s="12" t="str">
        <x:v>Not Started</x:v>
      </x:c>
    </x:row>
    <x:row r="8">
      <x:c r="A8" s="12" t="str">
        <x:v>PB-007</x:v>
      </x:c>
      <x:c r="B8" s="12" t="str">
        <x:v>CASE</x:v>
      </x:c>
      <x:c r="C8" s="12" t="str">
        <x:v>Sebagai panitera, saya membutuhkan party model agar proses persidangan elektronik dapat berjalan sah, aman, dan dapat diaudit.</x:v>
      </x:c>
      <x:c r="D8" s="12" t="str">
        <x:v>FR-CASE-003</x:v>
      </x:c>
      <x:c r="E8" s="12" t="str">
        <x:v>Sistem menyimpan tipe pihak, role hearing, confidentiality level, dan contact reference.</x:v>
      </x:c>
      <x:c r="F8" s="12" t="str">
        <x:v>MUST</x:v>
      </x:c>
      <x:c r="G8" s="12" t="str">
        <x:v>Sprint 2</x:v>
      </x:c>
      <x:c r="H8" s="12" t="n">
        <x:v>3</x:v>
      </x:c>
      <x:c r="I8" s="12" t="str">
        <x:v>IAM and organization</x:v>
      </x:c>
      <x:c r="J8" s="12" t="str">
        <x:v>Positive flow, negative authorization, state transition, audit event, error model, dan evidence untuk FR-CASE-003 lulus.</x:v>
      </x:c>
      <x:c r="K8" s="12" t="str">
        <x:v>Backend Lead</x:v>
      </x:c>
      <x:c r="L8" s="12" t="str">
        <x:v>Not Started</x:v>
      </x:c>
    </x:row>
    <x:row r="9">
      <x:c r="A9" s="12" t="str">
        <x:v>PB-008</x:v>
      </x:c>
      <x:c r="B9" s="12" t="str">
        <x:v>DET</x:v>
      </x:c>
      <x:c r="C9" s="12" t="str">
        <x:v>Sebagai hakim atau panitera berwenang, saya membutuhkan electronic request agar proses persidangan elektronik dapat berjalan sah, aman, dan dapat diaudit.</x:v>
      </x:c>
      <x:c r="D9" s="12" t="str">
        <x:v>FR-DET-001</x:v>
      </x:c>
      <x:c r="E9" s="12" t="str">
        <x:v>Pengguna berwenang dapat mencatat permohonan atau keadaan tertentu dengan alasan dan bukti.</x:v>
      </x:c>
      <x:c r="F9" s="12" t="str">
        <x:v>MUST</x:v>
      </x:c>
      <x:c r="G9" s="12" t="str">
        <x:v>Sprint 2</x:v>
      </x:c>
      <x:c r="H9" s="12" t="n">
        <x:v>3</x:v>
      </x:c>
      <x:c r="I9" s="12" t="str">
        <x:v>Case reference and IAM</x:v>
      </x:c>
      <x:c r="J9" s="12" t="str">
        <x:v>Positive flow, negative authorization, state transition, audit event, error model, dan evidence untuk FR-DET-001 lulus.</x:v>
      </x:c>
      <x:c r="K9" s="12" t="str">
        <x:v>Backend Lead</x:v>
      </x:c>
      <x:c r="L9" s="12" t="str">
        <x:v>Not Started</x:v>
      </x:c>
    </x:row>
    <x:row r="10">
      <x:c r="A10" s="12" t="str">
        <x:v>PB-009</x:v>
      </x:c>
      <x:c r="B10" s="12" t="str">
        <x:v>DET</x:v>
      </x:c>
      <x:c r="C10" s="12" t="str">
        <x:v>Sebagai hakim atau panitera berwenang, saya membutuhkan judicial determination agar proses persidangan elektronik dapat berjalan sah, aman, dan dapat diaudit.</x:v>
      </x:c>
      <x:c r="D10" s="12" t="str">
        <x:v>FR-DET-002</x:v>
      </x:c>
      <x:c r="E10" s="12" t="str">
        <x:v>Hakim dapat mencatat keputusan, mode, alasan, waktu efektif, official reference, dan hash.</x:v>
      </x:c>
      <x:c r="F10" s="12" t="str">
        <x:v>MUST</x:v>
      </x:c>
      <x:c r="G10" s="12" t="str">
        <x:v>Sprint 2</x:v>
      </x:c>
      <x:c r="H10" s="12" t="n">
        <x:v>3</x:v>
      </x:c>
      <x:c r="I10" s="12" t="str">
        <x:v>Case reference and IAM</x:v>
      </x:c>
      <x:c r="J10" s="12" t="str">
        <x:v>Positive flow, negative authorization, state transition, audit event, error model, dan evidence untuk FR-DET-002 lulus.</x:v>
      </x:c>
      <x:c r="K10" s="12" t="str">
        <x:v>Backend Lead</x:v>
      </x:c>
      <x:c r="L10" s="12" t="str">
        <x:v>Not Started</x:v>
      </x:c>
    </x:row>
    <x:row r="11">
      <x:c r="A11" s="12" t="str">
        <x:v>PB-010</x:v>
      </x:c>
      <x:c r="B11" s="12" t="str">
        <x:v>DET</x:v>
      </x:c>
      <x:c r="C11" s="12" t="str">
        <x:v>Sebagai hakim atau panitera berwenang, saya membutuhkan hard gate agar proses persidangan elektronik dapat berjalan sah, aman, dan dapat diaudit.</x:v>
      </x:c>
      <x:c r="D11" s="12" t="str">
        <x:v>FR-DET-003</x:v>
      </x:c>
      <x:c r="E11" s="12" t="str">
        <x:v>API schedule approval dan virtual provisioning menolak request apabila determination sah tidak tersedia.</x:v>
      </x:c>
      <x:c r="F11" s="12" t="str">
        <x:v>MUST</x:v>
      </x:c>
      <x:c r="G11" s="12" t="str">
        <x:v>Sprint 2</x:v>
      </x:c>
      <x:c r="H11" s="12" t="n">
        <x:v>5</x:v>
      </x:c>
      <x:c r="I11" s="12" t="str">
        <x:v>Case reference and IAM</x:v>
      </x:c>
      <x:c r="J11" s="12" t="str">
        <x:v>Positive flow, negative authorization, state transition, audit event, error model, dan evidence untuk FR-DET-003 lulus.</x:v>
      </x:c>
      <x:c r="K11" s="12" t="str">
        <x:v>Backend Lead</x:v>
      </x:c>
      <x:c r="L11" s="12" t="str">
        <x:v>Not Started</x:v>
      </x:c>
    </x:row>
    <x:row r="12">
      <x:c r="A12" s="12" t="str">
        <x:v>PB-011</x:v>
      </x:c>
      <x:c r="B12" s="12" t="str">
        <x:v>DET</x:v>
      </x:c>
      <x:c r="C12" s="12" t="str">
        <x:v>Sebagai hakim atau panitera berwenang, saya membutuhkan history agar proses persidangan elektronik dapat berjalan sah, aman, dan dapat diaudit.</x:v>
      </x:c>
      <x:c r="D12" s="12" t="str">
        <x:v>FR-DET-004</x:v>
      </x:c>
      <x:c r="E12" s="12" t="str">
        <x:v>Semua perubahan determination reference dipertahankan dan dapat diaudit.</x:v>
      </x:c>
      <x:c r="F12" s="12" t="str">
        <x:v>MUST</x:v>
      </x:c>
      <x:c r="G12" s="12" t="str">
        <x:v>Sprint 2</x:v>
      </x:c>
      <x:c r="H12" s="12" t="n">
        <x:v>3</x:v>
      </x:c>
      <x:c r="I12" s="12" t="str">
        <x:v>Case reference and IAM</x:v>
      </x:c>
      <x:c r="J12" s="12" t="str">
        <x:v>Positive flow, negative authorization, state transition, audit event, error model, dan evidence untuk FR-DET-004 lulus.</x:v>
      </x:c>
      <x:c r="K12" s="12" t="str">
        <x:v>Backend Lead</x:v>
      </x:c>
      <x:c r="L12" s="12" t="str">
        <x:v>Not Started</x:v>
      </x:c>
    </x:row>
    <x:row r="13">
      <x:c r="A13" s="12" t="str">
        <x:v>PB-012</x:v>
      </x:c>
      <x:c r="B13" s="12" t="str">
        <x:v>SCH</x:v>
      </x:c>
      <x:c r="C13" s="12" t="str">
        <x:v>Sebagai panitera, saya membutuhkan create proposal agar proses persidangan elektronik dapat berjalan sah, aman, dan dapat diaudit.</x:v>
      </x:c>
      <x:c r="D13" s="12" t="str">
        <x:v>FR-SCH-001</x:v>
      </x:c>
      <x:c r="E13" s="12" t="str">
        <x:v>Court Clerk dapat membuat schedule proposal untuk hearing yang telah determined.</x:v>
      </x:c>
      <x:c r="F13" s="12" t="str">
        <x:v>MUST</x:v>
      </x:c>
      <x:c r="G13" s="12" t="str">
        <x:v>Sprint 3</x:v>
      </x:c>
      <x:c r="H13" s="12" t="n">
        <x:v>3</x:v>
      </x:c>
      <x:c r="I13" s="12" t="str">
        <x:v>Valid judicial determination</x:v>
      </x:c>
      <x:c r="J13" s="12" t="str">
        <x:v>Positive flow, negative authorization, state transition, audit event, error model, dan evidence untuk FR-SCH-001 lulus.</x:v>
      </x:c>
      <x:c r="K13" s="12" t="str">
        <x:v>Scheduling Squad</x:v>
      </x:c>
      <x:c r="L13" s="12" t="str">
        <x:v>Not Started</x:v>
      </x:c>
    </x:row>
    <x:row r="14">
      <x:c r="A14" s="12" t="str">
        <x:v>PB-013</x:v>
      </x:c>
      <x:c r="B14" s="12" t="str">
        <x:v>SCH</x:v>
      </x:c>
      <x:c r="C14" s="12" t="str">
        <x:v>Sebagai panitera, saya membutuhkan availability agar proses persidangan elektronik dapat berjalan sah, aman, dan dapat diaudit.</x:v>
      </x:c>
      <x:c r="D14" s="12" t="str">
        <x:v>FR-SCH-002</x:v>
      </x:c>
      <x:c r="E14" s="12" t="str">
        <x:v>Sistem dapat membaca availability hakim, jaksa, ruang, lokasi terdakwa, saksi, ahli, petugas, dan provider.</x:v>
      </x:c>
      <x:c r="F14" s="12" t="str">
        <x:v>MUST</x:v>
      </x:c>
      <x:c r="G14" s="12" t="str">
        <x:v>Sprint 3</x:v>
      </x:c>
      <x:c r="H14" s="12" t="n">
        <x:v>3</x:v>
      </x:c>
      <x:c r="I14" s="12" t="str">
        <x:v>Valid judicial determination</x:v>
      </x:c>
      <x:c r="J14" s="12" t="str">
        <x:v>Positive flow, negative authorization, state transition, audit event, error model, dan evidence untuk FR-SCH-002 lulus.</x:v>
      </x:c>
      <x:c r="K14" s="12" t="str">
        <x:v>Scheduling Squad</x:v>
      </x:c>
      <x:c r="L14" s="12" t="str">
        <x:v>Not Started</x:v>
      </x:c>
    </x:row>
    <x:row r="15">
      <x:c r="A15" s="12" t="str">
        <x:v>PB-014</x:v>
      </x:c>
      <x:c r="B15" s="12" t="str">
        <x:v>SCH</x:v>
      </x:c>
      <x:c r="C15" s="12" t="str">
        <x:v>Sebagai panitera, saya membutuhkan constraint model agar proses persidangan elektronik dapat berjalan sah, aman, dan dapat diaudit.</x:v>
      </x:c>
      <x:c r="D15" s="12" t="str">
        <x:v>FR-SCH-003</x:v>
      </x:c>
      <x:c r="E15" s="12" t="str">
        <x:v>Constraint mendukung required atau preferred, date range, resource, dan jurisdiction.</x:v>
      </x:c>
      <x:c r="F15" s="12" t="str">
        <x:v>MUST</x:v>
      </x:c>
      <x:c r="G15" s="12" t="str">
        <x:v>Sprint 3</x:v>
      </x:c>
      <x:c r="H15" s="12" t="n">
        <x:v>3</x:v>
      </x:c>
      <x:c r="I15" s="12" t="str">
        <x:v>Valid judicial determination</x:v>
      </x:c>
      <x:c r="J15" s="12" t="str">
        <x:v>Positive flow, negative authorization, state transition, audit event, error model, dan evidence untuk FR-SCH-003 lulus.</x:v>
      </x:c>
      <x:c r="K15" s="12" t="str">
        <x:v>Scheduling Squad</x:v>
      </x:c>
      <x:c r="L15" s="12" t="str">
        <x:v>Not Started</x:v>
      </x:c>
    </x:row>
    <x:row r="16">
      <x:c r="A16" s="12" t="str">
        <x:v>PB-015</x:v>
      </x:c>
      <x:c r="B16" s="12" t="str">
        <x:v>SCH</x:v>
      </x:c>
      <x:c r="C16" s="12" t="str">
        <x:v>Sebagai panitera, saya membutuhkan conflict engine agar proses persidangan elektronik dapat berjalan sah, aman, dan dapat diaudit.</x:v>
      </x:c>
      <x:c r="D16" s="12" t="str">
        <x:v>FR-SCH-004</x:v>
      </x:c>
      <x:c r="E16" s="12" t="str">
        <x:v>Sistem mendeteksi overlap, unavailability, travel or location constraint, provider capacity, dan missing acknowledgment.</x:v>
      </x:c>
      <x:c r="F16" s="12" t="str">
        <x:v>MUST</x:v>
      </x:c>
      <x:c r="G16" s="12" t="str">
        <x:v>Sprint 3</x:v>
      </x:c>
      <x:c r="H16" s="12" t="n">
        <x:v>8</x:v>
      </x:c>
      <x:c r="I16" s="12" t="str">
        <x:v>Valid judicial determination</x:v>
      </x:c>
      <x:c r="J16" s="12" t="str">
        <x:v>Positive flow, negative authorization, state transition, audit event, error model, dan evidence untuk FR-SCH-004 lulus.</x:v>
      </x:c>
      <x:c r="K16" s="12" t="str">
        <x:v>Scheduling Squad</x:v>
      </x:c>
      <x:c r="L16" s="12" t="str">
        <x:v>Not Started</x:v>
      </x:c>
    </x:row>
    <x:row r="17">
      <x:c r="A17" s="12" t="str">
        <x:v>PB-016</x:v>
      </x:c>
      <x:c r="B17" s="12" t="str">
        <x:v>SCH</x:v>
      </x:c>
      <x:c r="C17" s="12" t="str">
        <x:v>Sebagai panitera, saya membutuhkan explainability agar proses persidangan elektronik dapat berjalan sah, aman, dan dapat diaudit.</x:v>
      </x:c>
      <x:c r="D17" s="12" t="str">
        <x:v>FR-SCH-005</x:v>
      </x:c>
      <x:c r="E17" s="12" t="str">
        <x:v>Setiap conflict result menampilkan resource, waktu, rule, severity, dan opsi resolusi.</x:v>
      </x:c>
      <x:c r="F17" s="12" t="str">
        <x:v>MUST</x:v>
      </x:c>
      <x:c r="G17" s="12" t="str">
        <x:v>Sprint 3</x:v>
      </x:c>
      <x:c r="H17" s="12" t="n">
        <x:v>3</x:v>
      </x:c>
      <x:c r="I17" s="12" t="str">
        <x:v>Valid judicial determination</x:v>
      </x:c>
      <x:c r="J17" s="12" t="str">
        <x:v>Positive flow, negative authorization, state transition, audit event, error model, dan evidence untuk FR-SCH-005 lulus.</x:v>
      </x:c>
      <x:c r="K17" s="12" t="str">
        <x:v>Scheduling Squad</x:v>
      </x:c>
      <x:c r="L17" s="12" t="str">
        <x:v>Not Started</x:v>
      </x:c>
    </x:row>
    <x:row r="18">
      <x:c r="A18" s="12" t="str">
        <x:v>PB-017</x:v>
      </x:c>
      <x:c r="B18" s="12" t="str">
        <x:v>SCH</x:v>
      </x:c>
      <x:c r="C18" s="12" t="str">
        <x:v>Sebagai panitera, saya membutuhkan recommendation agar proses persidangan elektronik dapat berjalan sah, aman, dan dapat diaudit.</x:v>
      </x:c>
      <x:c r="D18" s="12" t="str">
        <x:v>FR-SCH-006</x:v>
      </x:c>
      <x:c r="E18" s="12" t="str">
        <x:v>Sistem dapat menghasilkan opsi jadwal, tetapi tidak dapat mengaktifkannya otomatis.</x:v>
      </x:c>
      <x:c r="F18" s="12" t="str">
        <x:v>MUST</x:v>
      </x:c>
      <x:c r="G18" s="12" t="str">
        <x:v>Sprint 3</x:v>
      </x:c>
      <x:c r="H18" s="12" t="n">
        <x:v>3</x:v>
      </x:c>
      <x:c r="I18" s="12" t="str">
        <x:v>Valid judicial determination</x:v>
      </x:c>
      <x:c r="J18" s="12" t="str">
        <x:v>Positive flow, negative authorization, state transition, audit event, error model, dan evidence untuk FR-SCH-006 lulus.</x:v>
      </x:c>
      <x:c r="K18" s="12" t="str">
        <x:v>Scheduling Squad</x:v>
      </x:c>
      <x:c r="L18" s="12" t="str">
        <x:v>Not Started</x:v>
      </x:c>
    </x:row>
    <x:row r="19">
      <x:c r="A19" s="12" t="str">
        <x:v>PB-018</x:v>
      </x:c>
      <x:c r="B19" s="12" t="str">
        <x:v>SCH</x:v>
      </x:c>
      <x:c r="C19" s="12" t="str">
        <x:v>Sebagai panitera, saya membutuhkan approval agar proses persidangan elektronik dapat berjalan sah, aman, dan dapat diaudit.</x:v>
      </x:c>
      <x:c r="D19" s="12" t="str">
        <x:v>FR-SCH-007</x:v>
      </x:c>
      <x:c r="E19" s="12" t="str">
        <x:v>Pengguna berwenang menyetujui atau menolak proposal dengan alasan.</x:v>
      </x:c>
      <x:c r="F19" s="12" t="str">
        <x:v>MUST</x:v>
      </x:c>
      <x:c r="G19" s="12" t="str">
        <x:v>Sprint 4</x:v>
      </x:c>
      <x:c r="H19" s="12" t="n">
        <x:v>3</x:v>
      </x:c>
      <x:c r="I19" s="12" t="str">
        <x:v>Valid judicial determination</x:v>
      </x:c>
      <x:c r="J19" s="12" t="str">
        <x:v>Positive flow, negative authorization, state transition, audit event, error model, dan evidence untuk FR-SCH-007 lulus.</x:v>
      </x:c>
      <x:c r="K19" s="12" t="str">
        <x:v>Scheduling Squad</x:v>
      </x:c>
      <x:c r="L19" s="12" t="str">
        <x:v>Not Started</x:v>
      </x:c>
    </x:row>
    <x:row r="20">
      <x:c r="A20" s="12" t="str">
        <x:v>PB-019</x:v>
      </x:c>
      <x:c r="B20" s="12" t="str">
        <x:v>SCH</x:v>
      </x:c>
      <x:c r="C20" s="12" t="str">
        <x:v>Sebagai panitera, saya membutuhkan versioning agar proses persidangan elektronik dapat berjalan sah, aman, dan dapat diaudit.</x:v>
      </x:c>
      <x:c r="D20" s="12" t="str">
        <x:v>FR-SCH-008</x:v>
      </x:c>
      <x:c r="E20" s="12" t="str">
        <x:v>Setiap perubahan membuat schedule version baru dan mempertahankan versi lama.</x:v>
      </x:c>
      <x:c r="F20" s="12" t="str">
        <x:v>MUST</x:v>
      </x:c>
      <x:c r="G20" s="12" t="str">
        <x:v>Sprint 4</x:v>
      </x:c>
      <x:c r="H20" s="12" t="n">
        <x:v>5</x:v>
      </x:c>
      <x:c r="I20" s="12" t="str">
        <x:v>Valid judicial determination</x:v>
      </x:c>
      <x:c r="J20" s="12" t="str">
        <x:v>Positive flow, negative authorization, state transition, audit event, error model, dan evidence untuk FR-SCH-008 lulus.</x:v>
      </x:c>
      <x:c r="K20" s="12" t="str">
        <x:v>Scheduling Squad</x:v>
      </x:c>
      <x:c r="L20" s="12" t="str">
        <x:v>Not Started</x:v>
      </x:c>
    </x:row>
    <x:row r="21">
      <x:c r="A21" s="12" t="str">
        <x:v>PB-020</x:v>
      </x:c>
      <x:c r="B21" s="12" t="str">
        <x:v>SCH</x:v>
      </x:c>
      <x:c r="C21" s="12" t="str">
        <x:v>Sebagai panitera, saya membutuhkan single active schedule agar proses persidangan elektronik dapat berjalan sah, aman, dan dapat diaudit.</x:v>
      </x:c>
      <x:c r="D21" s="12" t="str">
        <x:v>FR-SCH-009</x:v>
      </x:c>
      <x:c r="E21" s="12" t="str">
        <x:v>Satu hearing hanya mempunyai satu schedule ACTIVE.</x:v>
      </x:c>
      <x:c r="F21" s="12" t="str">
        <x:v>MUST</x:v>
      </x:c>
      <x:c r="G21" s="12" t="str">
        <x:v>Sprint 4</x:v>
      </x:c>
      <x:c r="H21" s="12" t="n">
        <x:v>3</x:v>
      </x:c>
      <x:c r="I21" s="12" t="str">
        <x:v>Valid judicial determination</x:v>
      </x:c>
      <x:c r="J21" s="12" t="str">
        <x:v>Positive flow, negative authorization, state transition, audit event, error model, dan evidence untuk FR-SCH-009 lulus.</x:v>
      </x:c>
      <x:c r="K21" s="12" t="str">
        <x:v>Scheduling Squad</x:v>
      </x:c>
      <x:c r="L21" s="12" t="str">
        <x:v>Not Started</x:v>
      </x:c>
    </x:row>
    <x:row r="22">
      <x:c r="A22" s="12" t="str">
        <x:v>PB-021</x:v>
      </x:c>
      <x:c r="B22" s="12" t="str">
        <x:v>SCH</x:v>
      </x:c>
      <x:c r="C22" s="12" t="str">
        <x:v>Sebagai panitera, saya membutuhkan reschedule agar proses persidangan elektronik dapat berjalan sah, aman, dan dapat diaudit.</x:v>
      </x:c>
      <x:c r="D22" s="12" t="str">
        <x:v>FR-SCH-010</x:v>
      </x:c>
      <x:c r="E22" s="12" t="str">
        <x:v>Reschedule memerlukan alasan, basis reference, approver, dan notice ulang.</x:v>
      </x:c>
      <x:c r="F22" s="12" t="str">
        <x:v>MUST</x:v>
      </x:c>
      <x:c r="G22" s="12" t="str">
        <x:v>Sprint 4</x:v>
      </x:c>
      <x:c r="H22" s="12" t="n">
        <x:v>3</x:v>
      </x:c>
      <x:c r="I22" s="12" t="str">
        <x:v>Valid judicial determination</x:v>
      </x:c>
      <x:c r="J22" s="12" t="str">
        <x:v>Positive flow, negative authorization, state transition, audit event, error model, dan evidence untuk FR-SCH-010 lulus.</x:v>
      </x:c>
      <x:c r="K22" s="12" t="str">
        <x:v>Scheduling Squad</x:v>
      </x:c>
      <x:c r="L22" s="12" t="str">
        <x:v>Not Started</x:v>
      </x:c>
    </x:row>
    <x:row r="23">
      <x:c r="A23" s="12" t="str">
        <x:v>PB-022</x:v>
      </x:c>
      <x:c r="B23" s="12" t="str">
        <x:v>SCH</x:v>
      </x:c>
      <x:c r="C23" s="12" t="str">
        <x:v>Sebagai panitera, saya membutuhkan token invalidation agar proses persidangan elektronik dapat berjalan sah, aman, dan dapat diaudit.</x:v>
      </x:c>
      <x:c r="D23" s="12" t="str">
        <x:v>FR-SCH-011</x:v>
      </x:c>
      <x:c r="E23" s="12" t="str">
        <x:v>Reschedule membatalkan join token dan room assignment yang tidak lagi berlaku.</x:v>
      </x:c>
      <x:c r="F23" s="12" t="str">
        <x:v>MUST</x:v>
      </x:c>
      <x:c r="G23" s="12" t="str">
        <x:v>Sprint 4</x:v>
      </x:c>
      <x:c r="H23" s="12" t="n">
        <x:v>5</x:v>
      </x:c>
      <x:c r="I23" s="12" t="str">
        <x:v>Valid judicial determination</x:v>
      </x:c>
      <x:c r="J23" s="12" t="str">
        <x:v>Positive flow, negative authorization, state transition, audit event, error model, dan evidence untuk FR-SCH-011 lulus.</x:v>
      </x:c>
      <x:c r="K23" s="12" t="str">
        <x:v>Scheduling Squad</x:v>
      </x:c>
      <x:c r="L23" s="12" t="str">
        <x:v>Not Started</x:v>
      </x:c>
    </x:row>
    <x:row r="24">
      <x:c r="A24" s="12" t="str">
        <x:v>PB-023</x:v>
      </x:c>
      <x:c r="B24" s="12" t="str">
        <x:v>SCH</x:v>
      </x:c>
      <x:c r="C24" s="12" t="str">
        <x:v>Sebagai panitera, saya membutuhkan timezone agar proses persidangan elektronik dapat berjalan sah, aman, dan dapat diaudit.</x:v>
      </x:c>
      <x:c r="D24" s="12" t="str">
        <x:v>FR-SCH-012</x:v>
      </x:c>
      <x:c r="E24" s="12" t="str">
        <x:v>Semua waktu disimpan UTC dan ditampilkan sesuai WIB, WITA, WIT, atau timezone lokasi.</x:v>
      </x:c>
      <x:c r="F24" s="12" t="str">
        <x:v>MUST</x:v>
      </x:c>
      <x:c r="G24" s="12" t="str">
        <x:v>Sprint 3</x:v>
      </x:c>
      <x:c r="H24" s="12" t="n">
        <x:v>3</x:v>
      </x:c>
      <x:c r="I24" s="12" t="str">
        <x:v>Valid judicial determination</x:v>
      </x:c>
      <x:c r="J24" s="12" t="str">
        <x:v>Positive flow, negative authorization, state transition, audit event, error model, dan evidence untuk FR-SCH-012 lulus.</x:v>
      </x:c>
      <x:c r="K24" s="12" t="str">
        <x:v>Scheduling Squad</x:v>
      </x:c>
      <x:c r="L24" s="12" t="str">
        <x:v>Not Started</x:v>
      </x:c>
    </x:row>
    <x:row r="25">
      <x:c r="A25" s="12" t="str">
        <x:v>PB-024</x:v>
      </x:c>
      <x:c r="B25" s="12" t="str">
        <x:v>SCH</x:v>
      </x:c>
      <x:c r="C25" s="12" t="str">
        <x:v>Sebagai panitera, saya membutuhkan calendar view agar proses persidangan elektronik dapat berjalan sah, aman, dan dapat diaudit.</x:v>
      </x:c>
      <x:c r="D25" s="12" t="str">
        <x:v>FR-SCH-013</x:v>
      </x:c>
      <x:c r="E25" s="12" t="str">
        <x:v>Kalender menampilkan status proposal, active, conflict, acknowledgment, readiness, dan incident.</x:v>
      </x:c>
      <x:c r="F25" s="12" t="str">
        <x:v>MUST</x:v>
      </x:c>
      <x:c r="G25" s="12" t="str">
        <x:v>Sprint 3</x:v>
      </x:c>
      <x:c r="H25" s="12" t="n">
        <x:v>3</x:v>
      </x:c>
      <x:c r="I25" s="12" t="str">
        <x:v>Valid judicial determination</x:v>
      </x:c>
      <x:c r="J25" s="12" t="str">
        <x:v>Positive flow, negative authorization, state transition, audit event, error model, dan evidence untuk FR-SCH-013 lulus.</x:v>
      </x:c>
      <x:c r="K25" s="12" t="str">
        <x:v>Scheduling Squad</x:v>
      </x:c>
      <x:c r="L25" s="12" t="str">
        <x:v>Not Started</x:v>
      </x:c>
    </x:row>
    <x:row r="26">
      <x:c r="A26" s="12" t="str">
        <x:v>PB-025</x:v>
      </x:c>
      <x:c r="B26" s="12" t="str">
        <x:v>SCH</x:v>
      </x:c>
      <x:c r="C26" s="12" t="str">
        <x:v>Sebagai panitera, saya membutuhkan bulk conflict check agar proses persidangan elektronik dapat berjalan sah, aman, dan dapat diaudit.</x:v>
      </x:c>
      <x:c r="D26" s="12" t="str">
        <x:v>FR-SCH-014</x:v>
      </x:c>
      <x:c r="E26" s="12" t="str">
        <x:v>Sistem dapat mengecek beberapa opsi tanpa menciptakan meeting.</x:v>
      </x:c>
      <x:c r="F26" s="12" t="str">
        <x:v>MUST</x:v>
      </x:c>
      <x:c r="G26" s="12" t="str">
        <x:v>Sprint 3</x:v>
      </x:c>
      <x:c r="H26" s="12" t="n">
        <x:v>3</x:v>
      </x:c>
      <x:c r="I26" s="12" t="str">
        <x:v>Valid judicial determination</x:v>
      </x:c>
      <x:c r="J26" s="12" t="str">
        <x:v>Positive flow, negative authorization, state transition, audit event, error model, dan evidence untuk FR-SCH-014 lulus.</x:v>
      </x:c>
      <x:c r="K26" s="12" t="str">
        <x:v>Scheduling Squad</x:v>
      </x:c>
      <x:c r="L26" s="12" t="str">
        <x:v>Not Started</x:v>
      </x:c>
    </x:row>
    <x:row r="27">
      <x:c r="A27" s="12" t="str">
        <x:v>PB-026</x:v>
      </x:c>
      <x:c r="B27" s="12" t="str">
        <x:v>SCH</x:v>
      </x:c>
      <x:c r="C27" s="12" t="str">
        <x:v>Sebagai panitera, saya membutuhkan audit agar proses persidangan elektronik dapat berjalan sah, aman, dan dapat diaudit.</x:v>
      </x:c>
      <x:c r="D27" s="12" t="str">
        <x:v>FR-SCH-015</x:v>
      </x:c>
      <x:c r="E27" s="12" t="str">
        <x:v>Create, approve, reject, reschedule, dan cancel dicatat dengan before-after serta correlation ID.</x:v>
      </x:c>
      <x:c r="F27" s="12" t="str">
        <x:v>MUST</x:v>
      </x:c>
      <x:c r="G27" s="12" t="str">
        <x:v>Sprint 4</x:v>
      </x:c>
      <x:c r="H27" s="12" t="n">
        <x:v>3</x:v>
      </x:c>
      <x:c r="I27" s="12" t="str">
        <x:v>Valid judicial determination</x:v>
      </x:c>
      <x:c r="J27" s="12" t="str">
        <x:v>Positive flow, negative authorization, state transition, audit event, error model, dan evidence untuk FR-SCH-015 lulus.</x:v>
      </x:c>
      <x:c r="K27" s="12" t="str">
        <x:v>Scheduling Squad</x:v>
      </x:c>
      <x:c r="L27" s="12" t="str">
        <x:v>Not Started</x:v>
      </x:c>
    </x:row>
    <x:row r="28">
      <x:c r="A28" s="12" t="str">
        <x:v>PB-027</x:v>
      </x:c>
      <x:c r="B28" s="12" t="str">
        <x:v>NTC</x:v>
      </x:c>
      <x:c r="C28" s="12" t="str">
        <x:v>Sebagai petugas pengirim atau penerima pemberitahuan, saya membutuhkan official notice agar proses persidangan elektronik dapat berjalan sah, aman, dan dapat diaudit.</x:v>
      </x:c>
      <x:c r="D28" s="12" t="str">
        <x:v>FR-NTC-001</x:v>
      </x:c>
      <x:c r="E28" s="12" t="str">
        <x:v>Sistem membuat notice yang terkait document reference dan sender unit.</x:v>
      </x:c>
      <x:c r="F28" s="12" t="str">
        <x:v>MUST</x:v>
      </x:c>
      <x:c r="G28" s="12" t="str">
        <x:v>Sprint 5</x:v>
      </x:c>
      <x:c r="H28" s="12" t="n">
        <x:v>3</x:v>
      </x:c>
      <x:c r="I28" s="12" t="str">
        <x:v>Active schedule and recipient model</x:v>
      </x:c>
      <x:c r="J28" s="12" t="str">
        <x:v>Positive flow, negative authorization, state transition, audit event, error model, dan evidence untuk FR-NTC-001 lulus.</x:v>
      </x:c>
      <x:c r="K28" s="12" t="str">
        <x:v>Integration Squad</x:v>
      </x:c>
      <x:c r="L28" s="12" t="str">
        <x:v>Not Started</x:v>
      </x:c>
    </x:row>
    <x:row r="29">
      <x:c r="A29" s="12" t="str">
        <x:v>PB-028</x:v>
      </x:c>
      <x:c r="B29" s="12" t="str">
        <x:v>NTC</x:v>
      </x:c>
      <x:c r="C29" s="12" t="str">
        <x:v>Sebagai petugas pengirim atau penerima pemberitahuan, saya membutuhkan recipient chain agar proses persidangan elektronik dapat berjalan sah, aman, dan dapat diaudit.</x:v>
      </x:c>
      <x:c r="D29" s="12" t="str">
        <x:v>FR-NTC-002</x:v>
      </x:c>
      <x:c r="E29" s="12" t="str">
        <x:v>Sistem mendukung rantai Pengadilan ke Kejaksaan, Kejaksaan ke Pemasyarakatan dan advokat, Pemasyarakatan ke terdakwa.</x:v>
      </x:c>
      <x:c r="F29" s="12" t="str">
        <x:v>MUST</x:v>
      </x:c>
      <x:c r="G29" s="12" t="str">
        <x:v>Sprint 5</x:v>
      </x:c>
      <x:c r="H29" s="12" t="n">
        <x:v>3</x:v>
      </x:c>
      <x:c r="I29" s="12" t="str">
        <x:v>Active schedule and recipient model</x:v>
      </x:c>
      <x:c r="J29" s="12" t="str">
        <x:v>Positive flow, negative authorization, state transition, audit event, error model, dan evidence untuk FR-NTC-002 lulus.</x:v>
      </x:c>
      <x:c r="K29" s="12" t="str">
        <x:v>Integration Squad</x:v>
      </x:c>
      <x:c r="L29" s="12" t="str">
        <x:v>Not Started</x:v>
      </x:c>
    </x:row>
    <x:row r="30">
      <x:c r="A30" s="12" t="str">
        <x:v>PB-029</x:v>
      </x:c>
      <x:c r="B30" s="12" t="str">
        <x:v>NTC</x:v>
      </x:c>
      <x:c r="C30" s="12" t="str">
        <x:v>Sebagai petugas pengirim atau penerima pemberitahuan, saya membutuhkan delivery proof agar proses persidangan elektronik dapat berjalan sah, aman, dan dapat diaudit.</x:v>
      </x:c>
      <x:c r="D30" s="12" t="str">
        <x:v>FR-NTC-003</x:v>
      </x:c>
      <x:c r="E30" s="12" t="str">
        <x:v>Setiap attempt menyimpan provider, sent time, status, error, dan proof reference.</x:v>
      </x:c>
      <x:c r="F30" s="12" t="str">
        <x:v>MUST</x:v>
      </x:c>
      <x:c r="G30" s="12" t="str">
        <x:v>Sprint 5</x:v>
      </x:c>
      <x:c r="H30" s="12" t="n">
        <x:v>3</x:v>
      </x:c>
      <x:c r="I30" s="12" t="str">
        <x:v>Active schedule and recipient model</x:v>
      </x:c>
      <x:c r="J30" s="12" t="str">
        <x:v>Positive flow, negative authorization, state transition, audit event, error model, dan evidence untuk FR-NTC-003 lulus.</x:v>
      </x:c>
      <x:c r="K30" s="12" t="str">
        <x:v>Integration Squad</x:v>
      </x:c>
      <x:c r="L30" s="12" t="str">
        <x:v>Not Started</x:v>
      </x:c>
    </x:row>
    <x:row r="31">
      <x:c r="A31" s="12" t="str">
        <x:v>PB-030</x:v>
      </x:c>
      <x:c r="B31" s="12" t="str">
        <x:v>NTC</x:v>
      </x:c>
      <x:c r="C31" s="12" t="str">
        <x:v>Sebagai petugas pengirim atau penerima pemberitahuan, saya membutuhkan acknowledgment agar proses persidangan elektronik dapat berjalan sah, aman, dan dapat diaudit.</x:v>
      </x:c>
      <x:c r="D31" s="12" t="str">
        <x:v>FR-NTC-004</x:v>
      </x:c>
      <x:c r="E31" s="12" t="str">
        <x:v>Penerima berwenang dapat ack dengan timestamp dan method.</x:v>
      </x:c>
      <x:c r="F31" s="12" t="str">
        <x:v>MUST</x:v>
      </x:c>
      <x:c r="G31" s="12" t="str">
        <x:v>Sprint 5</x:v>
      </x:c>
      <x:c r="H31" s="12" t="n">
        <x:v>3</x:v>
      </x:c>
      <x:c r="I31" s="12" t="str">
        <x:v>Active schedule and recipient model</x:v>
      </x:c>
      <x:c r="J31" s="12" t="str">
        <x:v>Positive flow, negative authorization, state transition, audit event, error model, dan evidence untuk FR-NTC-004 lulus.</x:v>
      </x:c>
      <x:c r="K31" s="12" t="str">
        <x:v>Integration Squad</x:v>
      </x:c>
      <x:c r="L31" s="12" t="str">
        <x:v>Not Started</x:v>
      </x:c>
    </x:row>
    <x:row r="32">
      <x:c r="A32" s="12" t="str">
        <x:v>PB-031</x:v>
      </x:c>
      <x:c r="B32" s="12" t="str">
        <x:v>NTC</x:v>
      </x:c>
      <x:c r="C32" s="12" t="str">
        <x:v>Sebagai petugas pengirim atau penerima pemberitahuan, saya membutuhkan retry and fallback agar proses persidangan elektronik dapat berjalan sah, aman, dan dapat diaudit.</x:v>
      </x:c>
      <x:c r="D32" s="12" t="str">
        <x:v>FR-NTC-005</x:v>
      </x:c>
      <x:c r="E32" s="12" t="str">
        <x:v>Kegagalan memicu retry policy, fallback channel, dan escalation.</x:v>
      </x:c>
      <x:c r="F32" s="12" t="str">
        <x:v>MUST</x:v>
      </x:c>
      <x:c r="G32" s="12" t="str">
        <x:v>Sprint 5</x:v>
      </x:c>
      <x:c r="H32" s="12" t="n">
        <x:v>5</x:v>
      </x:c>
      <x:c r="I32" s="12" t="str">
        <x:v>Active schedule and recipient model</x:v>
      </x:c>
      <x:c r="J32" s="12" t="str">
        <x:v>Positive flow, negative authorization, state transition, audit event, error model, dan evidence untuk FR-NTC-005 lulus.</x:v>
      </x:c>
      <x:c r="K32" s="12" t="str">
        <x:v>Integration Squad</x:v>
      </x:c>
      <x:c r="L32" s="12" t="str">
        <x:v>Not Started</x:v>
      </x:c>
    </x:row>
    <x:row r="33">
      <x:c r="A33" s="12" t="str">
        <x:v>PB-032</x:v>
      </x:c>
      <x:c r="B33" s="12" t="str">
        <x:v>NTC</x:v>
      </x:c>
      <x:c r="C33" s="12" t="str">
        <x:v>Sebagai petugas pengirim atau penerima pemberitahuan, saya membutuhkan reminder separation agar proses persidangan elektronik dapat berjalan sah, aman, dan dapat diaudit.</x:v>
      </x:c>
      <x:c r="D33" s="12" t="str">
        <x:v>FR-NTC-006</x:v>
      </x:c>
      <x:c r="E33" s="12" t="str">
        <x:v>Reminder diberi label non-official dan tidak menggantikan official notice.</x:v>
      </x:c>
      <x:c r="F33" s="12" t="str">
        <x:v>MUST</x:v>
      </x:c>
      <x:c r="G33" s="12" t="str">
        <x:v>Sprint 5</x:v>
      </x:c>
      <x:c r="H33" s="12" t="n">
        <x:v>3</x:v>
      </x:c>
      <x:c r="I33" s="12" t="str">
        <x:v>Active schedule and recipient model</x:v>
      </x:c>
      <x:c r="J33" s="12" t="str">
        <x:v>Positive flow, negative authorization, state transition, audit event, error model, dan evidence untuk FR-NTC-006 lulus.</x:v>
      </x:c>
      <x:c r="K33" s="12" t="str">
        <x:v>Integration Squad</x:v>
      </x:c>
      <x:c r="L33" s="12" t="str">
        <x:v>Not Started</x:v>
      </x:c>
    </x:row>
    <x:row r="34">
      <x:c r="A34" s="12" t="str">
        <x:v>PB-033</x:v>
      </x:c>
      <x:c r="B34" s="12" t="str">
        <x:v>RDY</x:v>
      </x:c>
      <x:c r="C34" s="12" t="str">
        <x:v>Sebagai petugas lokasi, saya membutuhkan dynamic checklist agar proses persidangan elektronik dapat berjalan sah, aman, dan dapat diaudit.</x:v>
      </x:c>
      <x:c r="D34" s="12" t="str">
        <x:v>FR-RDY-001</x:v>
      </x:c>
      <x:c r="E34" s="12" t="str">
        <x:v>Checklist dibuat per hearing, lokasi, participant type, dan risk profile.</x:v>
      </x:c>
      <x:c r="F34" s="12" t="str">
        <x:v>MUST</x:v>
      </x:c>
      <x:c r="G34" s="12" t="str">
        <x:v>Sprint 6</x:v>
      </x:c>
      <x:c r="H34" s="12" t="n">
        <x:v>3</x:v>
      </x:c>
      <x:c r="I34" s="12" t="str">
        <x:v>Notice chain and hearing assignment</x:v>
      </x:c>
      <x:c r="J34" s="12" t="str">
        <x:v>Positive flow, negative authorization, state transition, audit event, error model, dan evidence untuk FR-RDY-001 lulus.</x:v>
      </x:c>
      <x:c r="K34" s="12" t="str">
        <x:v>Workflow Squad</x:v>
      </x:c>
      <x:c r="L34" s="12" t="str">
        <x:v>Not Started</x:v>
      </x:c>
    </x:row>
    <x:row r="35">
      <x:c r="A35" s="12" t="str">
        <x:v>PB-034</x:v>
      </x:c>
      <x:c r="B35" s="12" t="str">
        <x:v>RDY</x:v>
      </x:c>
      <x:c r="C35" s="12" t="str">
        <x:v>Sebagai petugas lokasi, saya membutuhkan mandatory items agar proses persidangan elektronik dapat berjalan sah, aman, dan dapat diaudit.</x:v>
      </x:c>
      <x:c r="D35" s="12" t="str">
        <x:v>FR-RDY-002</x:v>
      </x:c>
      <x:c r="E35" s="12" t="str">
        <x:v>Item penetapan, ruang, kamera, audio, internet utama dan cadangan, identitas, petugas, serta advokat dikonfigurasi sebagai wajib sesuai konteks.</x:v>
      </x:c>
      <x:c r="F35" s="12" t="str">
        <x:v>MUST</x:v>
      </x:c>
      <x:c r="G35" s="12" t="str">
        <x:v>Sprint 6</x:v>
      </x:c>
      <x:c r="H35" s="12" t="n">
        <x:v>3</x:v>
      </x:c>
      <x:c r="I35" s="12" t="str">
        <x:v>Notice chain and hearing assignment</x:v>
      </x:c>
      <x:c r="J35" s="12" t="str">
        <x:v>Positive flow, negative authorization, state transition, audit event, error model, dan evidence untuk FR-RDY-002 lulus.</x:v>
      </x:c>
      <x:c r="K35" s="12" t="str">
        <x:v>Workflow Squad</x:v>
      </x:c>
      <x:c r="L35" s="12" t="str">
        <x:v>Not Started</x:v>
      </x:c>
    </x:row>
    <x:row r="36">
      <x:c r="A36" s="12" t="str">
        <x:v>PB-035</x:v>
      </x:c>
      <x:c r="B36" s="12" t="str">
        <x:v>RDY</x:v>
      </x:c>
      <x:c r="C36" s="12" t="str">
        <x:v>Sebagai petugas lokasi, saya membutuhkan evidence agar proses persidangan elektronik dapat berjalan sah, aman, dan dapat diaudit.</x:v>
      </x:c>
      <x:c r="D36" s="12" t="str">
        <x:v>FR-RDY-003</x:v>
      </x:c>
      <x:c r="E36" s="12" t="str">
        <x:v>Petugas dapat melampirkan evidence reference, foto ruang bila diizinkan, hasil test, dan note.</x:v>
      </x:c>
      <x:c r="F36" s="12" t="str">
        <x:v>MUST</x:v>
      </x:c>
      <x:c r="G36" s="12" t="str">
        <x:v>Sprint 6</x:v>
      </x:c>
      <x:c r="H36" s="12" t="n">
        <x:v>3</x:v>
      </x:c>
      <x:c r="I36" s="12" t="str">
        <x:v>Notice chain and hearing assignment</x:v>
      </x:c>
      <x:c r="J36" s="12" t="str">
        <x:v>Positive flow, negative authorization, state transition, audit event, error model, dan evidence untuk FR-RDY-003 lulus.</x:v>
      </x:c>
      <x:c r="K36" s="12" t="str">
        <x:v>Workflow Squad</x:v>
      </x:c>
      <x:c r="L36" s="12" t="str">
        <x:v>Not Started</x:v>
      </x:c>
    </x:row>
    <x:row r="37">
      <x:c r="A37" s="12" t="str">
        <x:v>PB-036</x:v>
      </x:c>
      <x:c r="B37" s="12" t="str">
        <x:v>RDY</x:v>
      </x:c>
      <x:c r="C37" s="12" t="str">
        <x:v>Sebagai petugas lokasi, saya membutuhkan technical test agar proses persidangan elektronik dapat berjalan sah, aman, dan dapat diaudit.</x:v>
      </x:c>
      <x:c r="D37" s="12" t="str">
        <x:v>FR-RDY-004</x:v>
      </x:c>
      <x:c r="E37" s="12" t="str">
        <x:v>Sistem mencatat latency, jitter, packet loss, bandwidth, audio, video, dan provider access sesuai kemampuan tool.</x:v>
      </x:c>
      <x:c r="F37" s="12" t="str">
        <x:v>MUST</x:v>
      </x:c>
      <x:c r="G37" s="12" t="str">
        <x:v>Sprint 6</x:v>
      </x:c>
      <x:c r="H37" s="12" t="n">
        <x:v>5</x:v>
      </x:c>
      <x:c r="I37" s="12" t="str">
        <x:v>Notice chain and hearing assignment</x:v>
      </x:c>
      <x:c r="J37" s="12" t="str">
        <x:v>Positive flow, negative authorization, state transition, audit event, error model, dan evidence untuk FR-RDY-004 lulus.</x:v>
      </x:c>
      <x:c r="K37" s="12" t="str">
        <x:v>Workflow Squad</x:v>
      </x:c>
      <x:c r="L37" s="12" t="str">
        <x:v>Not Started</x:v>
      </x:c>
    </x:row>
    <x:row r="38">
      <x:c r="A38" s="12" t="str">
        <x:v>PB-037</x:v>
      </x:c>
      <x:c r="B38" s="12" t="str">
        <x:v>RDY</x:v>
      </x:c>
      <x:c r="C38" s="12" t="str">
        <x:v>Sebagai petugas lokasi, saya membutuhkan ready gate agar proses persidangan elektronik dapat berjalan sah, aman, dan dapat diaudit.</x:v>
      </x:c>
      <x:c r="D38" s="12" t="str">
        <x:v>FR-RDY-005</x:v>
      </x:c>
      <x:c r="E38" s="12" t="str">
        <x:v>State READY ditolak bila item wajib atau test belum lulus.</x:v>
      </x:c>
      <x:c r="F38" s="12" t="str">
        <x:v>MUST</x:v>
      </x:c>
      <x:c r="G38" s="12" t="str">
        <x:v>Sprint 6</x:v>
      </x:c>
      <x:c r="H38" s="12" t="n">
        <x:v>3</x:v>
      </x:c>
      <x:c r="I38" s="12" t="str">
        <x:v>Notice chain and hearing assignment</x:v>
      </x:c>
      <x:c r="J38" s="12" t="str">
        <x:v>Positive flow, negative authorization, state transition, audit event, error model, dan evidence untuk FR-RDY-005 lulus.</x:v>
      </x:c>
      <x:c r="K38" s="12" t="str">
        <x:v>Workflow Squad</x:v>
      </x:c>
      <x:c r="L38" s="12" t="str">
        <x:v>Not Started</x:v>
      </x:c>
    </x:row>
    <x:row r="39">
      <x:c r="A39" s="12" t="str">
        <x:v>PB-038</x:v>
      </x:c>
      <x:c r="B39" s="12" t="str">
        <x:v>VER</x:v>
      </x:c>
      <x:c r="C39" s="12" t="str">
        <x:v>Sebagai petugas verifikasi, saya membutuhkan identity verification agar proses persidangan elektronik dapat berjalan sah, aman, dan dapat diaudit.</x:v>
      </x:c>
      <x:c r="D39" s="12" t="str">
        <x:v>FR-VER-001</x:v>
      </x:c>
      <x:c r="E39" s="12" t="str">
        <x:v>Petugas mencatat metode, hasil, waktu, dan verifier tanpa menyimpan salinan identitas berlebihan.</x:v>
      </x:c>
      <x:c r="F39" s="12" t="str">
        <x:v>MUST</x:v>
      </x:c>
      <x:c r="G39" s="12" t="str">
        <x:v>Sprint 6</x:v>
      </x:c>
      <x:c r="H39" s="12" t="n">
        <x:v>3</x:v>
      </x:c>
      <x:c r="I39" s="12" t="str">
        <x:v>Readiness and participant model</x:v>
      </x:c>
      <x:c r="J39" s="12" t="str">
        <x:v>Positive flow, negative authorization, state transition, audit event, error model, dan evidence untuk FR-VER-001 lulus.</x:v>
      </x:c>
      <x:c r="K39" s="12" t="str">
        <x:v>Workflow Squad</x:v>
      </x:c>
      <x:c r="L39" s="12" t="str">
        <x:v>Not Started</x:v>
      </x:c>
    </x:row>
    <x:row r="40">
      <x:c r="A40" s="12" t="str">
        <x:v>PB-039</x:v>
      </x:c>
      <x:c r="B40" s="12" t="str">
        <x:v>VER</x:v>
      </x:c>
      <x:c r="C40" s="12" t="str">
        <x:v>Sebagai petugas verifikasi, saya membutuhkan room inspection agar proses persidangan elektronik dapat berjalan sah, aman, dan dapat diaudit.</x:v>
      </x:c>
      <x:c r="D40" s="12" t="str">
        <x:v>FR-VER-002</x:v>
      </x:c>
      <x:c r="E40" s="12" t="str">
        <x:v>Petugas mencatat sterilitas, camera view, orang dalam ruang, device, dan irregularity.</x:v>
      </x:c>
      <x:c r="F40" s="12" t="str">
        <x:v>MUST</x:v>
      </x:c>
      <x:c r="G40" s="12" t="str">
        <x:v>Sprint 6</x:v>
      </x:c>
      <x:c r="H40" s="12" t="n">
        <x:v>3</x:v>
      </x:c>
      <x:c r="I40" s="12" t="str">
        <x:v>Readiness and participant model</x:v>
      </x:c>
      <x:c r="J40" s="12" t="str">
        <x:v>Positive flow, negative authorization, state transition, audit event, error model, dan evidence untuk FR-VER-002 lulus.</x:v>
      </x:c>
      <x:c r="K40" s="12" t="str">
        <x:v>Workflow Squad</x:v>
      </x:c>
      <x:c r="L40" s="12" t="str">
        <x:v>Not Started</x:v>
      </x:c>
    </x:row>
    <x:row r="41">
      <x:c r="A41" s="12" t="str">
        <x:v>PB-040</x:v>
      </x:c>
      <x:c r="B41" s="12" t="str">
        <x:v>VER</x:v>
      </x:c>
      <x:c r="C41" s="12" t="str">
        <x:v>Sebagai petugas verifikasi, saya membutuhkan advocate location agar proses persidangan elektronik dapat berjalan sah, aman, dan dapat diaudit.</x:v>
      </x:c>
      <x:c r="D41" s="12" t="str">
        <x:v>FR-VER-003</x:v>
      </x:c>
      <x:c r="E41" s="12" t="str">
        <x:v>Lokasi advokat dan dasar penetapan disimpan.</x:v>
      </x:c>
      <x:c r="F41" s="12" t="str">
        <x:v>MUST</x:v>
      </x:c>
      <x:c r="G41" s="12" t="str">
        <x:v>Sprint 6</x:v>
      </x:c>
      <x:c r="H41" s="12" t="n">
        <x:v>3</x:v>
      </x:c>
      <x:c r="I41" s="12" t="str">
        <x:v>Readiness and participant model</x:v>
      </x:c>
      <x:c r="J41" s="12" t="str">
        <x:v>Positive flow, negative authorization, state transition, audit event, error model, dan evidence untuk FR-VER-003 lulus.</x:v>
      </x:c>
      <x:c r="K41" s="12" t="str">
        <x:v>Workflow Squad</x:v>
      </x:c>
      <x:c r="L41" s="12" t="str">
        <x:v>Not Started</x:v>
      </x:c>
    </x:row>
    <x:row r="42">
      <x:c r="A42" s="12" t="str">
        <x:v>PB-041</x:v>
      </x:c>
      <x:c r="B42" s="12" t="str">
        <x:v>VER</x:v>
      </x:c>
      <x:c r="C42" s="12" t="str">
        <x:v>Sebagai petugas verifikasi, saya membutuhkan private consultation agar proses persidangan elektronik dapat berjalan sah, aman, dan dapat diaudit.</x:v>
      </x:c>
      <x:c r="D42" s="12" t="str">
        <x:v>FR-VER-004</x:v>
      </x:c>
      <x:c r="E42" s="12" t="str">
        <x:v>Sistem menyediakan consultation room yang tidak direkam dan terisolasi.</x:v>
      </x:c>
      <x:c r="F42" s="12" t="str">
        <x:v>MUST</x:v>
      </x:c>
      <x:c r="G42" s="12" t="str">
        <x:v>Sprint 6</x:v>
      </x:c>
      <x:c r="H42" s="12" t="n">
        <x:v>3</x:v>
      </x:c>
      <x:c r="I42" s="12" t="str">
        <x:v>Readiness and participant model</x:v>
      </x:c>
      <x:c r="J42" s="12" t="str">
        <x:v>Positive flow, negative authorization, state transition, audit event, error model, dan evidence untuk FR-VER-004 lulus.</x:v>
      </x:c>
      <x:c r="K42" s="12" t="str">
        <x:v>Workflow Squad</x:v>
      </x:c>
      <x:c r="L42" s="12" t="str">
        <x:v>Not Started</x:v>
      </x:c>
    </x:row>
    <x:row r="43">
      <x:c r="A43" s="12" t="str">
        <x:v>PB-042</x:v>
      </x:c>
      <x:c r="B43" s="12" t="str">
        <x:v>VER</x:v>
      </x:c>
      <x:c r="C43" s="12" t="str">
        <x:v>Sebagai petugas verifikasi, saya membutuhkan protected participant agar proses persidangan elektronik dapat berjalan sah, aman, dan dapat diaudit.</x:v>
      </x:c>
      <x:c r="D43" s="12" t="str">
        <x:v>FR-VER-005</x:v>
      </x:c>
      <x:c r="E43" s="12" t="str">
        <x:v>Masking identitas dan room policy dapat dikonfigurasi untuk saksi rentan atau dilindungi.</x:v>
      </x:c>
      <x:c r="F43" s="12" t="str">
        <x:v>MUST</x:v>
      </x:c>
      <x:c r="G43" s="12" t="str">
        <x:v>Sprint 6</x:v>
      </x:c>
      <x:c r="H43" s="12" t="n">
        <x:v>8</x:v>
      </x:c>
      <x:c r="I43" s="12" t="str">
        <x:v>Readiness and participant model</x:v>
      </x:c>
      <x:c r="J43" s="12" t="str">
        <x:v>Positive flow, negative authorization, state transition, audit event, error model, dan evidence untuk FR-VER-005 lulus.</x:v>
      </x:c>
      <x:c r="K43" s="12" t="str">
        <x:v>Workflow Squad</x:v>
      </x:c>
      <x:c r="L43" s="12" t="str">
        <x:v>Not Started</x:v>
      </x:c>
    </x:row>
    <x:row r="44">
      <x:c r="A44" s="12" t="str">
        <x:v>PB-043</x:v>
      </x:c>
      <x:c r="B44" s="12" t="str">
        <x:v>VHC</x:v>
      </x:c>
      <x:c r="C44" s="12" t="str">
        <x:v>Sebagai operator TI atau hakim, saya membutuhkan provider adapter agar proses persidangan elektronik dapat berjalan sah, aman, dan dapat diaudit.</x:v>
      </x:c>
      <x:c r="D44" s="12" t="str">
        <x:v>FR-VHC-001</x:v>
      </x:c>
      <x:c r="E44" s="12" t="str">
        <x:v>Sistem mendukung provider interface create, update, cancel, room, token, health, dan webhook.</x:v>
      </x:c>
      <x:c r="F44" s="12" t="str">
        <x:v>MUST</x:v>
      </x:c>
      <x:c r="G44" s="12" t="str">
        <x:v>Sprint 7</x:v>
      </x:c>
      <x:c r="H44" s="12" t="n">
        <x:v>8</x:v>
      </x:c>
      <x:c r="I44" s="12" t="str">
        <x:v>Valid determination and active schedule</x:v>
      </x:c>
      <x:c r="J44" s="12" t="str">
        <x:v>Positive flow, negative authorization, state transition, audit event, error model, dan evidence untuk FR-VHC-001 lulus.</x:v>
      </x:c>
      <x:c r="K44" s="12" t="str">
        <x:v>Virtual Hearing Squad</x:v>
      </x:c>
      <x:c r="L44" s="12" t="str">
        <x:v>Not Started</x:v>
      </x:c>
    </x:row>
    <x:row r="45">
      <x:c r="A45" s="12" t="str">
        <x:v>PB-044</x:v>
      </x:c>
      <x:c r="B45" s="12" t="str">
        <x:v>VHC</x:v>
      </x:c>
      <x:c r="C45" s="12" t="str">
        <x:v>Sebagai operator TI atau hakim, saya membutuhkan provisioning gate agar proses persidangan elektronik dapat berjalan sah, aman, dan dapat diaudit.</x:v>
      </x:c>
      <x:c r="D45" s="12" t="str">
        <x:v>FR-VHC-002</x:v>
      </x:c>
      <x:c r="E45" s="12" t="str">
        <x:v>Provision hanya dapat dilakukan pada hearing determined dan schedule ACTIVE.</x:v>
      </x:c>
      <x:c r="F45" s="12" t="str">
        <x:v>MUST</x:v>
      </x:c>
      <x:c r="G45" s="12" t="str">
        <x:v>Sprint 7</x:v>
      </x:c>
      <x:c r="H45" s="12" t="n">
        <x:v>3</x:v>
      </x:c>
      <x:c r="I45" s="12" t="str">
        <x:v>Valid determination and active schedule</x:v>
      </x:c>
      <x:c r="J45" s="12" t="str">
        <x:v>Positive flow, negative authorization, state transition, audit event, error model, dan evidence untuk FR-VHC-002 lulus.</x:v>
      </x:c>
      <x:c r="K45" s="12" t="str">
        <x:v>Virtual Hearing Squad</x:v>
      </x:c>
      <x:c r="L45" s="12" t="str">
        <x:v>Not Started</x:v>
      </x:c>
    </x:row>
    <x:row r="46">
      <x:c r="A46" s="12" t="str">
        <x:v>PB-045</x:v>
      </x:c>
      <x:c r="B46" s="12" t="str">
        <x:v>VHC</x:v>
      </x:c>
      <x:c r="C46" s="12" t="str">
        <x:v>Sebagai operator TI atau hakim, saya membutuhkan session state agar proses persidangan elektronik dapat berjalan sah, aman, dan dapat diaudit.</x:v>
      </x:c>
      <x:c r="D46" s="12" t="str">
        <x:v>FR-VHC-003</x:v>
      </x:c>
      <x:c r="E46" s="12" t="str">
        <x:v>Virtual session memiliki PROVISIONING, READY, STARTED, SUSPENDED, ENDED, FAILED, dan CANCELLED.</x:v>
      </x:c>
      <x:c r="F46" s="12" t="str">
        <x:v>MUST</x:v>
      </x:c>
      <x:c r="G46" s="12" t="str">
        <x:v>Sprint 7</x:v>
      </x:c>
      <x:c r="H46" s="12" t="n">
        <x:v>3</x:v>
      </x:c>
      <x:c r="I46" s="12" t="str">
        <x:v>Valid determination and active schedule</x:v>
      </x:c>
      <x:c r="J46" s="12" t="str">
        <x:v>Positive flow, negative authorization, state transition, audit event, error model, dan evidence untuk FR-VHC-003 lulus.</x:v>
      </x:c>
      <x:c r="K46" s="12" t="str">
        <x:v>Virtual Hearing Squad</x:v>
      </x:c>
      <x:c r="L46" s="12" t="str">
        <x:v>Not Started</x:v>
      </x:c>
    </x:row>
    <x:row r="47">
      <x:c r="A47" s="12" t="str">
        <x:v>PB-046</x:v>
      </x:c>
      <x:c r="B47" s="12" t="str">
        <x:v>VHC</x:v>
      </x:c>
      <x:c r="C47" s="12" t="str">
        <x:v>Sebagai operator TI atau hakim, saya membutuhkan room template agar proses persidangan elektronik dapat berjalan sah, aman, dan dapat diaudit.</x:v>
      </x:c>
      <x:c r="D47" s="12" t="str">
        <x:v>FR-VHC-004</x:v>
      </x:c>
      <x:c r="E47" s="12" t="str">
        <x:v>Sistem membuat main, waiting, witness, defendant, dan consultation room sesuai template.</x:v>
      </x:c>
      <x:c r="F47" s="12" t="str">
        <x:v>MUST</x:v>
      </x:c>
      <x:c r="G47" s="12" t="str">
        <x:v>Sprint 7</x:v>
      </x:c>
      <x:c r="H47" s="12" t="n">
        <x:v>3</x:v>
      </x:c>
      <x:c r="I47" s="12" t="str">
        <x:v>Valid determination and active schedule</x:v>
      </x:c>
      <x:c r="J47" s="12" t="str">
        <x:v>Positive flow, negative authorization, state transition, audit event, error model, dan evidence untuk FR-VHC-004 lulus.</x:v>
      </x:c>
      <x:c r="K47" s="12" t="str">
        <x:v>Virtual Hearing Squad</x:v>
      </x:c>
      <x:c r="L47" s="12" t="str">
        <x:v>Not Started</x:v>
      </x:c>
    </x:row>
    <x:row r="48">
      <x:c r="A48" s="12" t="str">
        <x:v>PB-047</x:v>
      </x:c>
      <x:c r="B48" s="12" t="str">
        <x:v>VHC</x:v>
      </x:c>
      <x:c r="C48" s="12" t="str">
        <x:v>Sebagai operator TI atau hakim, saya membutuhkan host secret agar proses persidangan elektronik dapat berjalan sah, aman, dan dapat diaudit.</x:v>
      </x:c>
      <x:c r="D48" s="12" t="str">
        <x:v>FR-VHC-005</x:v>
      </x:c>
      <x:c r="E48" s="12" t="str">
        <x:v>Host secret disimpan pada secret manager dan tidak dikirim ke client biasa.</x:v>
      </x:c>
      <x:c r="F48" s="12" t="str">
        <x:v>MUST</x:v>
      </x:c>
      <x:c r="G48" s="12" t="str">
        <x:v>Sprint 7</x:v>
      </x:c>
      <x:c r="H48" s="12" t="n">
        <x:v>3</x:v>
      </x:c>
      <x:c r="I48" s="12" t="str">
        <x:v>Valid determination and active schedule</x:v>
      </x:c>
      <x:c r="J48" s="12" t="str">
        <x:v>Positive flow, negative authorization, state transition, audit event, error model, dan evidence untuk FR-VHC-005 lulus.</x:v>
      </x:c>
      <x:c r="K48" s="12" t="str">
        <x:v>Virtual Hearing Squad</x:v>
      </x:c>
      <x:c r="L48" s="12" t="str">
        <x:v>Not Started</x:v>
      </x:c>
    </x:row>
    <x:row r="49">
      <x:c r="A49" s="12" t="str">
        <x:v>PB-048</x:v>
      </x:c>
      <x:c r="B49" s="12" t="str">
        <x:v>VHC</x:v>
      </x:c>
      <x:c r="C49" s="12" t="str">
        <x:v>Sebagai operator TI atau hakim, saya membutuhkan join token agar proses persidangan elektronik dapat berjalan sah, aman, dan dapat diaudit.</x:v>
      </x:c>
      <x:c r="D49" s="12" t="str">
        <x:v>FR-VHC-006</x:v>
      </x:c>
      <x:c r="E49" s="12" t="str">
        <x:v>Join token individual, time-bound, role-bound, hashed, dan dapat dicabut.</x:v>
      </x:c>
      <x:c r="F49" s="12" t="str">
        <x:v>MUST</x:v>
      </x:c>
      <x:c r="G49" s="12" t="str">
        <x:v>Sprint 7</x:v>
      </x:c>
      <x:c r="H49" s="12" t="n">
        <x:v>5</x:v>
      </x:c>
      <x:c r="I49" s="12" t="str">
        <x:v>Valid determination and active schedule</x:v>
      </x:c>
      <x:c r="J49" s="12" t="str">
        <x:v>Positive flow, negative authorization, state transition, audit event, error model, dan evidence untuk FR-VHC-006 lulus.</x:v>
      </x:c>
      <x:c r="K49" s="12" t="str">
        <x:v>Virtual Hearing Squad</x:v>
      </x:c>
      <x:c r="L49" s="12" t="str">
        <x:v>Not Started</x:v>
      </x:c>
    </x:row>
    <x:row r="50">
      <x:c r="A50" s="12" t="str">
        <x:v>PB-049</x:v>
      </x:c>
      <x:c r="B50" s="12" t="str">
        <x:v>VHC</x:v>
      </x:c>
      <x:c r="C50" s="12" t="str">
        <x:v>Sebagai operator TI atau hakim, saya membutuhkan waiting room agar proses persidangan elektronik dapat berjalan sah, aman, dan dapat diaudit.</x:v>
      </x:c>
      <x:c r="D50" s="12" t="str">
        <x:v>FR-VHC-007</x:v>
      </x:c>
      <x:c r="E50" s="12" t="str">
        <x:v>Peserta masuk waiting room sampai diverifikasi atau diizinkan.</x:v>
      </x:c>
      <x:c r="F50" s="12" t="str">
        <x:v>MUST</x:v>
      </x:c>
      <x:c r="G50" s="12" t="str">
        <x:v>Sprint 7</x:v>
      </x:c>
      <x:c r="H50" s="12" t="n">
        <x:v>3</x:v>
      </x:c>
      <x:c r="I50" s="12" t="str">
        <x:v>Valid determination and active schedule</x:v>
      </x:c>
      <x:c r="J50" s="12" t="str">
        <x:v>Positive flow, negative authorization, state transition, audit event, error model, dan evidence untuk FR-VHC-007 lulus.</x:v>
      </x:c>
      <x:c r="K50" s="12" t="str">
        <x:v>Virtual Hearing Squad</x:v>
      </x:c>
      <x:c r="L50" s="12" t="str">
        <x:v>Not Started</x:v>
      </x:c>
    </x:row>
    <x:row r="51">
      <x:c r="A51" s="12" t="str">
        <x:v>PB-050</x:v>
      </x:c>
      <x:c r="B51" s="12" t="str">
        <x:v>VHC</x:v>
      </x:c>
      <x:c r="C51" s="12" t="str">
        <x:v>Sebagai operator TI atau hakim, saya membutuhkan role controls agar proses persidangan elektronik dapat berjalan sah, aman, dan dapat diaudit.</x:v>
      </x:c>
      <x:c r="D51" s="12" t="str">
        <x:v>FR-VHC-008</x:v>
      </x:c>
      <x:c r="E51" s="12" t="str">
        <x:v>Mute, unmute, record, remove, move room, screen share, dan admit dibatasi per role.</x:v>
      </x:c>
      <x:c r="F51" s="12" t="str">
        <x:v>MUST</x:v>
      </x:c>
      <x:c r="G51" s="12" t="str">
        <x:v>Sprint 7</x:v>
      </x:c>
      <x:c r="H51" s="12" t="n">
        <x:v>3</x:v>
      </x:c>
      <x:c r="I51" s="12" t="str">
        <x:v>Valid determination and active schedule</x:v>
      </x:c>
      <x:c r="J51" s="12" t="str">
        <x:v>Positive flow, negative authorization, state transition, audit event, error model, dan evidence untuk FR-VHC-008 lulus.</x:v>
      </x:c>
      <x:c r="K51" s="12" t="str">
        <x:v>Virtual Hearing Squad</x:v>
      </x:c>
      <x:c r="L51" s="12" t="str">
        <x:v>Not Started</x:v>
      </x:c>
    </x:row>
    <x:row r="52">
      <x:c r="A52" s="12" t="str">
        <x:v>PB-051</x:v>
      </x:c>
      <x:c r="B52" s="12" t="str">
        <x:v>VHC</x:v>
      </x:c>
      <x:c r="C52" s="12" t="str">
        <x:v>Sebagai operator TI atau hakim, saya membutuhkan room isolation agar proses persidangan elektronik dapat berjalan sah, aman, dan dapat diaudit.</x:v>
      </x:c>
      <x:c r="D52" s="12" t="str">
        <x:v>FR-VHC-009</x:v>
      </x:c>
      <x:c r="E52" s="12" t="str">
        <x:v>Peserta satu ruang tidak dapat mengakses ruang lain tanpa assignment.</x:v>
      </x:c>
      <x:c r="F52" s="12" t="str">
        <x:v>MUST</x:v>
      </x:c>
      <x:c r="G52" s="12" t="str">
        <x:v>Sprint 7</x:v>
      </x:c>
      <x:c r="H52" s="12" t="n">
        <x:v>3</x:v>
      </x:c>
      <x:c r="I52" s="12" t="str">
        <x:v>Valid determination and active schedule</x:v>
      </x:c>
      <x:c r="J52" s="12" t="str">
        <x:v>Positive flow, negative authorization, state transition, audit event, error model, dan evidence untuk FR-VHC-009 lulus.</x:v>
      </x:c>
      <x:c r="K52" s="12" t="str">
        <x:v>Virtual Hearing Squad</x:v>
      </x:c>
      <x:c r="L52" s="12" t="str">
        <x:v>Not Started</x:v>
      </x:c>
    </x:row>
    <x:row r="53">
      <x:c r="A53" s="12" t="str">
        <x:v>PB-052</x:v>
      </x:c>
      <x:c r="B53" s="12" t="str">
        <x:v>VHC</x:v>
      </x:c>
      <x:c r="C53" s="12" t="str">
        <x:v>Sebagai operator TI atau hakim, saya membutuhkan consultation privacy agar proses persidangan elektronik dapat berjalan sah, aman, dan dapat diaudit.</x:v>
      </x:c>
      <x:c r="D53" s="12" t="str">
        <x:v>FR-VHC-010</x:v>
      </x:c>
      <x:c r="E53" s="12" t="str">
        <x:v>Consultation room tidak termasuk recording policy dan tidak masuk transcription pipeline.</x:v>
      </x:c>
      <x:c r="F53" s="12" t="str">
        <x:v>MUST</x:v>
      </x:c>
      <x:c r="G53" s="12" t="str">
        <x:v>Sprint 7</x:v>
      </x:c>
      <x:c r="H53" s="12" t="n">
        <x:v>3</x:v>
      </x:c>
      <x:c r="I53" s="12" t="str">
        <x:v>Valid determination and active schedule</x:v>
      </x:c>
      <x:c r="J53" s="12" t="str">
        <x:v>Positive flow, negative authorization, state transition, audit event, error model, dan evidence untuk FR-VHC-010 lulus.</x:v>
      </x:c>
      <x:c r="K53" s="12" t="str">
        <x:v>Virtual Hearing Squad</x:v>
      </x:c>
      <x:c r="L53" s="12" t="str">
        <x:v>Not Started</x:v>
      </x:c>
    </x:row>
    <x:row r="54">
      <x:c r="A54" s="12" t="str">
        <x:v>PB-053</x:v>
      </x:c>
      <x:c r="B54" s="12" t="str">
        <x:v>VHC</x:v>
      </x:c>
      <x:c r="C54" s="12" t="str">
        <x:v>Sebagai operator TI atau hakim, saya membutuhkan provider health agar proses persidangan elektronik dapat berjalan sah, aman, dan dapat diaudit.</x:v>
      </x:c>
      <x:c r="D54" s="12" t="str">
        <x:v>FR-VHC-011</x:v>
      </x:c>
      <x:c r="E54" s="12" t="str">
        <x:v>Sistem mengecek provider health sebelum provisioning dan sebelum hearing.</x:v>
      </x:c>
      <x:c r="F54" s="12" t="str">
        <x:v>MUST</x:v>
      </x:c>
      <x:c r="G54" s="12" t="str">
        <x:v>Sprint 7</x:v>
      </x:c>
      <x:c r="H54" s="12" t="n">
        <x:v>3</x:v>
      </x:c>
      <x:c r="I54" s="12" t="str">
        <x:v>Valid determination and active schedule</x:v>
      </x:c>
      <x:c r="J54" s="12" t="str">
        <x:v>Positive flow, negative authorization, state transition, audit event, error model, dan evidence untuk FR-VHC-011 lulus.</x:v>
      </x:c>
      <x:c r="K54" s="12" t="str">
        <x:v>Virtual Hearing Squad</x:v>
      </x:c>
      <x:c r="L54" s="12" t="str">
        <x:v>Not Started</x:v>
      </x:c>
    </x:row>
    <x:row r="55">
      <x:c r="A55" s="12" t="str">
        <x:v>PB-054</x:v>
      </x:c>
      <x:c r="B55" s="12" t="str">
        <x:v>VHC</x:v>
      </x:c>
      <x:c r="C55" s="12" t="str">
        <x:v>Sebagai operator TI atau hakim, saya membutuhkan fallback provider agar proses persidangan elektronik dapat berjalan sah, aman, dan dapat diaudit.</x:v>
      </x:c>
      <x:c r="D55" s="12" t="str">
        <x:v>FR-VHC-012</x:v>
      </x:c>
      <x:c r="E55" s="12" t="str">
        <x:v>Peralihan provider hanya menggunakan provider yang disetujui dan memicu token serta notice baru.</x:v>
      </x:c>
      <x:c r="F55" s="12" t="str">
        <x:v>MUST</x:v>
      </x:c>
      <x:c r="G55" s="12" t="str">
        <x:v>Sprint 7</x:v>
      </x:c>
      <x:c r="H55" s="12" t="n">
        <x:v>5</x:v>
      </x:c>
      <x:c r="I55" s="12" t="str">
        <x:v>Valid determination and active schedule</x:v>
      </x:c>
      <x:c r="J55" s="12" t="str">
        <x:v>Positive flow, negative authorization, state transition, audit event, error model, dan evidence untuk FR-VHC-012 lulus.</x:v>
      </x:c>
      <x:c r="K55" s="12" t="str">
        <x:v>Virtual Hearing Squad</x:v>
      </x:c>
      <x:c r="L55" s="12" t="str">
        <x:v>Not Started</x:v>
      </x:c>
    </x:row>
    <x:row r="56">
      <x:c r="A56" s="12" t="str">
        <x:v>PB-055</x:v>
      </x:c>
      <x:c r="B56" s="12" t="str">
        <x:v>VHC</x:v>
      </x:c>
      <x:c r="C56" s="12" t="str">
        <x:v>Sebagai operator TI atau hakim, saya membutuhkan webhook validation agar proses persidangan elektronik dapat berjalan sah, aman, dan dapat diaudit.</x:v>
      </x:c>
      <x:c r="D56" s="12" t="str">
        <x:v>FR-VHC-013</x:v>
      </x:c>
      <x:c r="E56" s="12" t="str">
        <x:v>Webhook provider wajib diverifikasi signature, timestamp, idempotency, dan replay protection.</x:v>
      </x:c>
      <x:c r="F56" s="12" t="str">
        <x:v>MUST</x:v>
      </x:c>
      <x:c r="G56" s="12" t="str">
        <x:v>Sprint 7</x:v>
      </x:c>
      <x:c r="H56" s="12" t="n">
        <x:v>5</x:v>
      </x:c>
      <x:c r="I56" s="12" t="str">
        <x:v>Valid determination and active schedule</x:v>
      </x:c>
      <x:c r="J56" s="12" t="str">
        <x:v>Positive flow, negative authorization, state transition, audit event, error model, dan evidence untuk FR-VHC-013 lulus.</x:v>
      </x:c>
      <x:c r="K56" s="12" t="str">
        <x:v>Virtual Hearing Squad</x:v>
      </x:c>
      <x:c r="L56" s="12" t="str">
        <x:v>Not Started</x:v>
      </x:c>
    </x:row>
    <x:row r="57">
      <x:c r="A57" s="12" t="str">
        <x:v>PB-056</x:v>
      </x:c>
      <x:c r="B57" s="12" t="str">
        <x:v>VHC</x:v>
      </x:c>
      <x:c r="C57" s="12" t="str">
        <x:v>Sebagai operator TI atau hakim, saya membutuhkan attendance events agar proses persidangan elektronik dapat berjalan sah, aman, dan dapat diaudit.</x:v>
      </x:c>
      <x:c r="D57" s="12" t="str">
        <x:v>FR-VHC-014</x:v>
      </x:c>
      <x:c r="E57" s="12" t="str">
        <x:v>Join, leave, reconnect, room move, and disconnect disimpan sebagai event.</x:v>
      </x:c>
      <x:c r="F57" s="12" t="str">
        <x:v>MUST</x:v>
      </x:c>
      <x:c r="G57" s="12" t="str">
        <x:v>Sprint 7</x:v>
      </x:c>
      <x:c r="H57" s="12" t="n">
        <x:v>3</x:v>
      </x:c>
      <x:c r="I57" s="12" t="str">
        <x:v>Valid determination and active schedule</x:v>
      </x:c>
      <x:c r="J57" s="12" t="str">
        <x:v>Positive flow, negative authorization, state transition, audit event, error model, dan evidence untuk FR-VHC-014 lulus.</x:v>
      </x:c>
      <x:c r="K57" s="12" t="str">
        <x:v>Virtual Hearing Squad</x:v>
      </x:c>
      <x:c r="L57" s="12" t="str">
        <x:v>Not Started</x:v>
      </x:c>
    </x:row>
    <x:row r="58">
      <x:c r="A58" s="12" t="str">
        <x:v>PB-057</x:v>
      </x:c>
      <x:c r="B58" s="12" t="str">
        <x:v>VHC</x:v>
      </x:c>
      <x:c r="C58" s="12" t="str">
        <x:v>Sebagai operator TI atau hakim, saya membutuhkan recording control agar proses persidangan elektronik dapat berjalan sah, aman, dan dapat diaudit.</x:v>
      </x:c>
      <x:c r="D58" s="12" t="str">
        <x:v>FR-VHC-015</x:v>
      </x:c>
      <x:c r="E58" s="12" t="str">
        <x:v>Recording hanya dapat diaktifkan sesuai policy dan kewenangan yang dikonfigurasi.</x:v>
      </x:c>
      <x:c r="F58" s="12" t="str">
        <x:v>MUST</x:v>
      </x:c>
      <x:c r="G58" s="12" t="str">
        <x:v>Sprint 7</x:v>
      </x:c>
      <x:c r="H58" s="12" t="n">
        <x:v>3</x:v>
      </x:c>
      <x:c r="I58" s="12" t="str">
        <x:v>Valid determination and active schedule</x:v>
      </x:c>
      <x:c r="J58" s="12" t="str">
        <x:v>Positive flow, negative authorization, state transition, audit event, error model, dan evidence untuk FR-VHC-015 lulus.</x:v>
      </x:c>
      <x:c r="K58" s="12" t="str">
        <x:v>Virtual Hearing Squad</x:v>
      </x:c>
      <x:c r="L58" s="12" t="str">
        <x:v>Not Started</x:v>
      </x:c>
    </x:row>
    <x:row r="59">
      <x:c r="A59" s="12" t="str">
        <x:v>PB-058</x:v>
      </x:c>
      <x:c r="B59" s="12" t="str">
        <x:v>VHC</x:v>
      </x:c>
      <x:c r="C59" s="12" t="str">
        <x:v>Sebagai operator TI atau hakim, saya membutuhkan low bandwidth agar proses persidangan elektronik dapat berjalan sah, aman, dan dapat diaudit.</x:v>
      </x:c>
      <x:c r="D59" s="12" t="str">
        <x:v>FR-VHC-016</x:v>
      </x:c>
      <x:c r="E59" s="12" t="str">
        <x:v>UI menyediakan indikator kualitas koneksi dan opsi low-bandwidth apabila provider mendukung.</x:v>
      </x:c>
      <x:c r="F59" s="12" t="str">
        <x:v>MUST</x:v>
      </x:c>
      <x:c r="G59" s="12" t="str">
        <x:v>Sprint 7</x:v>
      </x:c>
      <x:c r="H59" s="12" t="n">
        <x:v>3</x:v>
      </x:c>
      <x:c r="I59" s="12" t="str">
        <x:v>Valid determination and active schedule</x:v>
      </x:c>
      <x:c r="J59" s="12" t="str">
        <x:v>Positive flow, negative authorization, state transition, audit event, error model, dan evidence untuk FR-VHC-016 lulus.</x:v>
      </x:c>
      <x:c r="K59" s="12" t="str">
        <x:v>Virtual Hearing Squad</x:v>
      </x:c>
      <x:c r="L59" s="12" t="str">
        <x:v>Not Started</x:v>
      </x:c>
    </x:row>
    <x:row r="60">
      <x:c r="A60" s="12" t="str">
        <x:v>PB-059</x:v>
      </x:c>
      <x:c r="B60" s="12" t="str">
        <x:v>VHC</x:v>
      </x:c>
      <x:c r="C60" s="12" t="str">
        <x:v>Sebagai operator TI atau hakim, saya membutuhkan suspend and resume agar proses persidangan elektronik dapat berjalan sah, aman, dan dapat diaudit.</x:v>
      </x:c>
      <x:c r="D60" s="12" t="str">
        <x:v>FR-VHC-017</x:v>
      </x:c>
      <x:c r="E60" s="12" t="str">
        <x:v>Hakim dapat menskors atau melanjutkan dan status disinkronkan dengan session event.</x:v>
      </x:c>
      <x:c r="F60" s="12" t="str">
        <x:v>MUST</x:v>
      </x:c>
      <x:c r="G60" s="12" t="str">
        <x:v>Sprint 7</x:v>
      </x:c>
      <x:c r="H60" s="12" t="n">
        <x:v>3</x:v>
      </x:c>
      <x:c r="I60" s="12" t="str">
        <x:v>Valid determination and active schedule</x:v>
      </x:c>
      <x:c r="J60" s="12" t="str">
        <x:v>Positive flow, negative authorization, state transition, audit event, error model, dan evidence untuk FR-VHC-017 lulus.</x:v>
      </x:c>
      <x:c r="K60" s="12" t="str">
        <x:v>Virtual Hearing Squad</x:v>
      </x:c>
      <x:c r="L60" s="12" t="str">
        <x:v>Not Started</x:v>
      </x:c>
    </x:row>
    <x:row r="61">
      <x:c r="A61" s="12" t="str">
        <x:v>PB-060</x:v>
      </x:c>
      <x:c r="B61" s="12" t="str">
        <x:v>VHC</x:v>
      </x:c>
      <x:c r="C61" s="12" t="str">
        <x:v>Sebagai operator TI atau hakim, saya membutuhkan termination agar proses persidangan elektronik dapat berjalan sah, aman, dan dapat diaudit.</x:v>
      </x:c>
      <x:c r="D61" s="12" t="str">
        <x:v>FR-VHC-018</x:v>
      </x:c>
      <x:c r="E61" s="12" t="str">
        <x:v>Penutupan oleh hakim mengakhiri session, mencabut token, dan menulis audit event.</x:v>
      </x:c>
      <x:c r="F61" s="12" t="str">
        <x:v>MUST</x:v>
      </x:c>
      <x:c r="G61" s="12" t="str">
        <x:v>Sprint 7</x:v>
      </x:c>
      <x:c r="H61" s="12" t="n">
        <x:v>3</x:v>
      </x:c>
      <x:c r="I61" s="12" t="str">
        <x:v>Valid determination and active schedule</x:v>
      </x:c>
      <x:c r="J61" s="12" t="str">
        <x:v>Positive flow, negative authorization, state transition, audit event, error model, dan evidence untuk FR-VHC-018 lulus.</x:v>
      </x:c>
      <x:c r="K61" s="12" t="str">
        <x:v>Virtual Hearing Squad</x:v>
      </x:c>
      <x:c r="L61" s="12" t="str">
        <x:v>Not Started</x:v>
      </x:c>
    </x:row>
    <x:row r="62">
      <x:c r="A62" s="12" t="str">
        <x:v>PB-061</x:v>
      </x:c>
      <x:c r="B62" s="12" t="str">
        <x:v>OPS</x:v>
      </x:c>
      <x:c r="C62" s="12" t="str">
        <x:v>Sebagai hakim atau panitera, saya membutuhkan start hearing agar proses persidangan elektronik dapat berjalan sah, aman, dan dapat diaudit.</x:v>
      </x:c>
      <x:c r="D62" s="12" t="str">
        <x:v>FR-OPS-001</x:v>
      </x:c>
      <x:c r="E62" s="12" t="str">
        <x:v>Hanya Judge dapat mengubah READY menjadi IN_PROGRESS.</x:v>
      </x:c>
      <x:c r="F62" s="12" t="str">
        <x:v>MUST</x:v>
      </x:c>
      <x:c r="G62" s="12" t="str">
        <x:v>Sprint 8</x:v>
      </x:c>
      <x:c r="H62" s="12" t="n">
        <x:v>3</x:v>
      </x:c>
      <x:c r="I62" s="12" t="str">
        <x:v>Virtual session READY</x:v>
      </x:c>
      <x:c r="J62" s="12" t="str">
        <x:v>Positive flow, negative authorization, state transition, audit event, error model, dan evidence untuk FR-OPS-001 lulus.</x:v>
      </x:c>
      <x:c r="K62" s="12" t="str">
        <x:v>Virtual Hearing Squad</x:v>
      </x:c>
      <x:c r="L62" s="12" t="str">
        <x:v>Not Started</x:v>
      </x:c>
    </x:row>
    <x:row r="63">
      <x:c r="A63" s="12" t="str">
        <x:v>PB-062</x:v>
      </x:c>
      <x:c r="B63" s="12" t="str">
        <x:v>OPS</x:v>
      </x:c>
      <x:c r="C63" s="12" t="str">
        <x:v>Sebagai hakim atau panitera, saya membutuhkan attendance agar proses persidangan elektronik dapat berjalan sah, aman, dan dapat diaudit.</x:v>
      </x:c>
      <x:c r="D63" s="12" t="str">
        <x:v>FR-OPS-002</x:v>
      </x:c>
      <x:c r="E63" s="12" t="str">
        <x:v>Panitera mencatat presence, mode langsung atau elektronik, join, leave, dan verification status.</x:v>
      </x:c>
      <x:c r="F63" s="12" t="str">
        <x:v>MUST</x:v>
      </x:c>
      <x:c r="G63" s="12" t="str">
        <x:v>Sprint 8</x:v>
      </x:c>
      <x:c r="H63" s="12" t="n">
        <x:v>3</x:v>
      </x:c>
      <x:c r="I63" s="12" t="str">
        <x:v>Virtual session READY</x:v>
      </x:c>
      <x:c r="J63" s="12" t="str">
        <x:v>Positive flow, negative authorization, state transition, audit event, error model, dan evidence untuk FR-OPS-002 lulus.</x:v>
      </x:c>
      <x:c r="K63" s="12" t="str">
        <x:v>Virtual Hearing Squad</x:v>
      </x:c>
      <x:c r="L63" s="12" t="str">
        <x:v>Not Started</x:v>
      </x:c>
    </x:row>
    <x:row r="64">
      <x:c r="A64" s="12" t="str">
        <x:v>PB-063</x:v>
      </x:c>
      <x:c r="B64" s="12" t="str">
        <x:v>OPS</x:v>
      </x:c>
      <x:c r="C64" s="12" t="str">
        <x:v>Sebagai hakim atau panitera, saya membutuhkan event timeline agar proses persidangan elektronik dapat berjalan sah, aman, dan dapat diaudit.</x:v>
      </x:c>
      <x:c r="D64" s="12" t="str">
        <x:v>FR-OPS-003</x:v>
      </x:c>
      <x:c r="E64" s="12" t="str">
        <x:v>Sistem mencatat start, verification, evidence display, consultation, suspension, resume, postpone, and complete.</x:v>
      </x:c>
      <x:c r="F64" s="12" t="str">
        <x:v>MUST</x:v>
      </x:c>
      <x:c r="G64" s="12" t="str">
        <x:v>Sprint 8</x:v>
      </x:c>
      <x:c r="H64" s="12" t="n">
        <x:v>3</x:v>
      </x:c>
      <x:c r="I64" s="12" t="str">
        <x:v>Virtual session READY</x:v>
      </x:c>
      <x:c r="J64" s="12" t="str">
        <x:v>Positive flow, negative authorization, state transition, audit event, error model, dan evidence untuk FR-OPS-003 lulus.</x:v>
      </x:c>
      <x:c r="K64" s="12" t="str">
        <x:v>Virtual Hearing Squad</x:v>
      </x:c>
      <x:c r="L64" s="12" t="str">
        <x:v>Not Started</x:v>
      </x:c>
    </x:row>
    <x:row r="65">
      <x:c r="A65" s="12" t="str">
        <x:v>PB-064</x:v>
      </x:c>
      <x:c r="B65" s="12" t="str">
        <x:v>OPS</x:v>
      </x:c>
      <x:c r="C65" s="12" t="str">
        <x:v>Sebagai hakim atau panitera, saya membutuhkan documentation pending agar proses persidangan elektronik dapat berjalan sah, aman, dan dapat diaudit.</x:v>
      </x:c>
      <x:c r="D65" s="12" t="str">
        <x:v>FR-OPS-004</x:v>
      </x:c>
      <x:c r="E65" s="12" t="str">
        <x:v>Hearing selesai masuk DOCUMENTATION_PENDING sampai bukti dan sinkronisasi lengkap.</x:v>
      </x:c>
      <x:c r="F65" s="12" t="str">
        <x:v>MUST</x:v>
      </x:c>
      <x:c r="G65" s="12" t="str">
        <x:v>Sprint 8</x:v>
      </x:c>
      <x:c r="H65" s="12" t="n">
        <x:v>3</x:v>
      </x:c>
      <x:c r="I65" s="12" t="str">
        <x:v>Virtual session READY</x:v>
      </x:c>
      <x:c r="J65" s="12" t="str">
        <x:v>Positive flow, negative authorization, state transition, audit event, error model, dan evidence untuk FR-OPS-004 lulus.</x:v>
      </x:c>
      <x:c r="K65" s="12" t="str">
        <x:v>Virtual Hearing Squad</x:v>
      </x:c>
      <x:c r="L65" s="12" t="str">
        <x:v>Not Started</x:v>
      </x:c>
    </x:row>
    <x:row r="66">
      <x:c r="A66" s="12" t="str">
        <x:v>PB-065</x:v>
      </x:c>
      <x:c r="B66" s="12" t="str">
        <x:v>INC</x:v>
      </x:c>
      <x:c r="C66" s="12" t="str">
        <x:v>Sebagai petugas TI, keamanan, atau pejabat penghubung, saya membutuhkan incident classification agar proses persidangan elektronik dapat berjalan sah, aman, dan dapat diaudit.</x:v>
      </x:c>
      <x:c r="D66" s="12" t="str">
        <x:v>FR-INC-001</x:v>
      </x:c>
      <x:c r="E66" s="12" t="str">
        <x:v>Form memisahkan technical, cyber, dan force majeure.</x:v>
      </x:c>
      <x:c r="F66" s="12" t="str">
        <x:v>MUST</x:v>
      </x:c>
      <x:c r="G66" s="12" t="str">
        <x:v>Sprint 9</x:v>
      </x:c>
      <x:c r="H66" s="12" t="n">
        <x:v>8</x:v>
      </x:c>
      <x:c r="I66" s="12" t="str">
        <x:v>Audit, notification, and virtual session events</x:v>
      </x:c>
      <x:c r="J66" s="12" t="str">
        <x:v>Positive flow, negative authorization, state transition, audit event, error model, dan evidence untuk FR-INC-001 lulus.</x:v>
      </x:c>
      <x:c r="K66" s="12" t="str">
        <x:v>Security and SRE</x:v>
      </x:c>
      <x:c r="L66" s="12" t="str">
        <x:v>Not Started</x:v>
      </x:c>
    </x:row>
    <x:row r="67">
      <x:c r="A67" s="12" t="str">
        <x:v>PB-066</x:v>
      </x:c>
      <x:c r="B67" s="12" t="str">
        <x:v>INC</x:v>
      </x:c>
      <x:c r="C67" s="12" t="str">
        <x:v>Sebagai petugas TI, keamanan, atau pejabat penghubung, saya membutuhkan technical recovery agar proses persidangan elektronik dapat berjalan sah, aman, dan dapat diaudit.</x:v>
      </x:c>
      <x:c r="D67" s="12" t="str">
        <x:v>FR-INC-002</x:v>
      </x:c>
      <x:c r="E67" s="12" t="str">
        <x:v>Technical incident mencatat component, diagnosis, action, downtime, dan recovery result.</x:v>
      </x:c>
      <x:c r="F67" s="12" t="str">
        <x:v>MUST</x:v>
      </x:c>
      <x:c r="G67" s="12" t="str">
        <x:v>Sprint 9</x:v>
      </x:c>
      <x:c r="H67" s="12" t="n">
        <x:v>3</x:v>
      </x:c>
      <x:c r="I67" s="12" t="str">
        <x:v>Audit, notification, and virtual session events</x:v>
      </x:c>
      <x:c r="J67" s="12" t="str">
        <x:v>Positive flow, negative authorization, state transition, audit event, error model, dan evidence untuk FR-INC-002 lulus.</x:v>
      </x:c>
      <x:c r="K67" s="12" t="str">
        <x:v>Security and SRE</x:v>
      </x:c>
      <x:c r="L67" s="12" t="str">
        <x:v>Not Started</x:v>
      </x:c>
    </x:row>
    <x:row r="68">
      <x:c r="A68" s="12" t="str">
        <x:v>PB-067</x:v>
      </x:c>
      <x:c r="B68" s="12" t="str">
        <x:v>INC</x:v>
      </x:c>
      <x:c r="C68" s="12" t="str">
        <x:v>Sebagai petugas TI, keamanan, atau pejabat penghubung, saya membutuhkan cyber timer agar proses persidangan elektronik dapat berjalan sah, aman, dan dapat diaudit.</x:v>
      </x:c>
      <x:c r="D68" s="12" t="str">
        <x:v>FR-INC-003</x:v>
      </x:c>
      <x:c r="E68" s="12" t="str">
        <x:v>Cyber incident menghasilkan notification deadline paling lambat 1 x 24 jam.</x:v>
      </x:c>
      <x:c r="F68" s="12" t="str">
        <x:v>MUST</x:v>
      </x:c>
      <x:c r="G68" s="12" t="str">
        <x:v>Sprint 9</x:v>
      </x:c>
      <x:c r="H68" s="12" t="n">
        <x:v>8</x:v>
      </x:c>
      <x:c r="I68" s="12" t="str">
        <x:v>Audit, notification, and virtual session events</x:v>
      </x:c>
      <x:c r="J68" s="12" t="str">
        <x:v>Positive flow, negative authorization, state transition, audit event, error model, dan evidence untuk FR-INC-003 lulus.</x:v>
      </x:c>
      <x:c r="K68" s="12" t="str">
        <x:v>Security and SRE</x:v>
      </x:c>
      <x:c r="L68" s="12" t="str">
        <x:v>Not Started</x:v>
      </x:c>
    </x:row>
    <x:row r="69">
      <x:c r="A69" s="12" t="str">
        <x:v>PB-068</x:v>
      </x:c>
      <x:c r="B69" s="12" t="str">
        <x:v>INC</x:v>
      </x:c>
      <x:c r="C69" s="12" t="str">
        <x:v>Sebagai petugas TI, keamanan, atau pejabat penghubung, saya membutuhkan force majeure timer agar proses persidangan elektronik dapat berjalan sah, aman, dan dapat diaudit.</x:v>
      </x:c>
      <x:c r="D69" s="12" t="str">
        <x:v>FR-INC-004</x:v>
      </x:c>
      <x:c r="E69" s="12" t="str">
        <x:v>Force majeure menghasilkan notice deadline paling lambat 3 x 24 jam.</x:v>
      </x:c>
      <x:c r="F69" s="12" t="str">
        <x:v>MUST</x:v>
      </x:c>
      <x:c r="G69" s="12" t="str">
        <x:v>Sprint 9</x:v>
      </x:c>
      <x:c r="H69" s="12" t="n">
        <x:v>8</x:v>
      </x:c>
      <x:c r="I69" s="12" t="str">
        <x:v>Audit, notification, and virtual session events</x:v>
      </x:c>
      <x:c r="J69" s="12" t="str">
        <x:v>Positive flow, negative authorization, state transition, audit event, error model, dan evidence untuk FR-INC-004 lulus.</x:v>
      </x:c>
      <x:c r="K69" s="12" t="str">
        <x:v>Security and SRE</x:v>
      </x:c>
      <x:c r="L69" s="12" t="str">
        <x:v>Not Started</x:v>
      </x:c>
    </x:row>
    <x:row r="70">
      <x:c r="A70" s="12" t="str">
        <x:v>PB-069</x:v>
      </x:c>
      <x:c r="B70" s="12" t="str">
        <x:v>INC</x:v>
      </x:c>
      <x:c r="C70" s="12" t="str">
        <x:v>Sebagai petugas TI, keamanan, atau pejabat penghubung, saya membutuhkan evidence preservation agar proses persidangan elektronik dapat berjalan sah, aman, dan dapat diaudit.</x:v>
      </x:c>
      <x:c r="D70" s="12" t="str">
        <x:v>FR-INC-005</x:v>
      </x:c>
      <x:c r="E70" s="12" t="str">
        <x:v>Cyber event dan provider payload mempertahankan hash, time, and chain of custody reference.</x:v>
      </x:c>
      <x:c r="F70" s="12" t="str">
        <x:v>MUST</x:v>
      </x:c>
      <x:c r="G70" s="12" t="str">
        <x:v>Sprint 9</x:v>
      </x:c>
      <x:c r="H70" s="12" t="n">
        <x:v>8</x:v>
      </x:c>
      <x:c r="I70" s="12" t="str">
        <x:v>Audit, notification, and virtual session events</x:v>
      </x:c>
      <x:c r="J70" s="12" t="str">
        <x:v>Positive flow, negative authorization, state transition, audit event, error model, dan evidence untuk FR-INC-005 lulus.</x:v>
      </x:c>
      <x:c r="K70" s="12" t="str">
        <x:v>Security and SRE</x:v>
      </x:c>
      <x:c r="L70" s="12" t="str">
        <x:v>Not Started</x:v>
      </x:c>
    </x:row>
    <x:row r="71">
      <x:c r="A71" s="12" t="str">
        <x:v>PB-070</x:v>
      </x:c>
      <x:c r="B71" s="12" t="str">
        <x:v>INC</x:v>
      </x:c>
      <x:c r="C71" s="12" t="str">
        <x:v>Sebagai petugas TI, keamanan, atau pejabat penghubung, saya membutuhkan custody transfer agar proses persidangan elektronik dapat berjalan sah, aman, dan dapat diaudit.</x:v>
      </x:c>
      <x:c r="D71" s="12" t="str">
        <x:v>FR-INC-006</x:v>
      </x:c>
      <x:c r="E71" s="12" t="str">
        <x:v>Mutasi tahanan mengubah responsible unit, access scope, readiness, test, and notice.</x:v>
      </x:c>
      <x:c r="F71" s="12" t="str">
        <x:v>MUST</x:v>
      </x:c>
      <x:c r="G71" s="12" t="str">
        <x:v>Sprint 9</x:v>
      </x:c>
      <x:c r="H71" s="12" t="n">
        <x:v>3</x:v>
      </x:c>
      <x:c r="I71" s="12" t="str">
        <x:v>Audit, notification, and virtual session events</x:v>
      </x:c>
      <x:c r="J71" s="12" t="str">
        <x:v>Positive flow, negative authorization, state transition, audit event, error model, dan evidence untuk FR-INC-006 lulus.</x:v>
      </x:c>
      <x:c r="K71" s="12" t="str">
        <x:v>Security and SRE</x:v>
      </x:c>
      <x:c r="L71" s="12" t="str">
        <x:v>Not Started</x:v>
      </x:c>
    </x:row>
    <x:row r="72">
      <x:c r="A72" s="12" t="str">
        <x:v>PB-071</x:v>
      </x:c>
      <x:c r="B72" s="12" t="str">
        <x:v>APD</x:v>
      </x:c>
      <x:c r="C72" s="12" t="str">
        <x:v>Sebagai panitera tingkat banding, saya membutuhkan reading determination agar proses persidangan elektronik dapat berjalan sah, aman, dan dapat diaudit.</x:v>
      </x:c>
      <x:c r="D72" s="12" t="str">
        <x:v>FR-APD-001</x:v>
      </x:c>
      <x:c r="E72" s="12" t="str">
        <x:v>Sistem mencatat original dan changed reading determination reference.</x:v>
      </x:c>
      <x:c r="F72" s="12" t="str">
        <x:v>MUST</x:v>
      </x:c>
      <x:c r="G72" s="12" t="str">
        <x:v>Sprint 10</x:v>
      </x:c>
      <x:c r="H72" s="12" t="n">
        <x:v>3</x:v>
      </x:c>
      <x:c r="I72" s="12" t="str">
        <x:v>Notice and official record reference</x:v>
      </x:c>
      <x:c r="J72" s="12" t="str">
        <x:v>Positive flow, negative authorization, state transition, audit event, error model, dan evidence untuk FR-APD-001 lulus.</x:v>
      </x:c>
      <x:c r="K72" s="12" t="str">
        <x:v>Workflow Squad</x:v>
      </x:c>
      <x:c r="L72" s="12" t="str">
        <x:v>Not Started</x:v>
      </x:c>
    </x:row>
    <x:row r="73">
      <x:c r="A73" s="12" t="str">
        <x:v>PB-072</x:v>
      </x:c>
      <x:c r="B73" s="12" t="str">
        <x:v>APD</x:v>
      </x:c>
      <x:c r="C73" s="12" t="str">
        <x:v>Sebagai panitera tingkat banding, saya membutuhkan notice chain agar proses persidangan elektronik dapat berjalan sah, aman, dan dapat diaudit.</x:v>
      </x:c>
      <x:c r="D73" s="12" t="str">
        <x:v>FR-APD-002</x:v>
      </x:c>
      <x:c r="E73" s="12" t="str">
        <x:v>Sistem melacak notice Pengadilan Tinggi, Kejaksaan, Pemasyarakatan, terdakwa, dan advokat.</x:v>
      </x:c>
      <x:c r="F73" s="12" t="str">
        <x:v>MUST</x:v>
      </x:c>
      <x:c r="G73" s="12" t="str">
        <x:v>Sprint 10</x:v>
      </x:c>
      <x:c r="H73" s="12" t="n">
        <x:v>3</x:v>
      </x:c>
      <x:c r="I73" s="12" t="str">
        <x:v>Notice and official record reference</x:v>
      </x:c>
      <x:c r="J73" s="12" t="str">
        <x:v>Positive flow, negative authorization, state transition, audit event, error model, dan evidence untuk FR-APD-002 lulus.</x:v>
      </x:c>
      <x:c r="K73" s="12" t="str">
        <x:v>Workflow Squad</x:v>
      </x:c>
      <x:c r="L73" s="12" t="str">
        <x:v>Not Started</x:v>
      </x:c>
    </x:row>
    <x:row r="74">
      <x:c r="A74" s="12" t="str">
        <x:v>PB-073</x:v>
      </x:c>
      <x:c r="B74" s="12" t="str">
        <x:v>APD</x:v>
      </x:c>
      <x:c r="C74" s="12" t="str">
        <x:v>Sebagai panitera tingkat banding, saya membutuhkan presence agar proses persidangan elektronik dapat berjalan sah, aman, dan dapat diaudit.</x:v>
      </x:c>
      <x:c r="D74" s="12" t="str">
        <x:v>FR-APD-003</x:v>
      </x:c>
      <x:c r="E74" s="12" t="str">
        <x:v>Catat hadir atau tidak hadir serta langsung atau elektronik.</x:v>
      </x:c>
      <x:c r="F74" s="12" t="str">
        <x:v>MUST</x:v>
      </x:c>
      <x:c r="G74" s="12" t="str">
        <x:v>Sprint 10</x:v>
      </x:c>
      <x:c r="H74" s="12" t="n">
        <x:v>3</x:v>
      </x:c>
      <x:c r="I74" s="12" t="str">
        <x:v>Notice and official record reference</x:v>
      </x:c>
      <x:c r="J74" s="12" t="str">
        <x:v>Positive flow, negative authorization, state transition, audit event, error model, dan evidence untuk FR-APD-003 lulus.</x:v>
      </x:c>
      <x:c r="K74" s="12" t="str">
        <x:v>Workflow Squad</x:v>
      </x:c>
      <x:c r="L74" s="12" t="str">
        <x:v>Not Started</x:v>
      </x:c>
    </x:row>
    <x:row r="75">
      <x:c r="A75" s="12" t="str">
        <x:v>PB-074</x:v>
      </x:c>
      <x:c r="B75" s="12" t="str">
        <x:v>APD</x:v>
      </x:c>
      <x:c r="C75" s="12" t="str">
        <x:v>Sebagai panitera tingkat banding, saya membutuhkan same-day excerpt agar proses persidangan elektronik dapat berjalan sah, aman, dan dapat diaudit.</x:v>
      </x:c>
      <x:c r="D75" s="12" t="str">
        <x:v>FR-APD-004</x:v>
      </x:c>
      <x:c r="E75" s="12" t="str">
        <x:v>Sistem menampilkan deadline dan status publikasi petikan pada hari yang sama.</x:v>
      </x:c>
      <x:c r="F75" s="12" t="str">
        <x:v>MUST</x:v>
      </x:c>
      <x:c r="G75" s="12" t="str">
        <x:v>Sprint 10</x:v>
      </x:c>
      <x:c r="H75" s="12" t="n">
        <x:v>3</x:v>
      </x:c>
      <x:c r="I75" s="12" t="str">
        <x:v>Notice and official record reference</x:v>
      </x:c>
      <x:c r="J75" s="12" t="str">
        <x:v>Positive flow, negative authorization, state transition, audit event, error model, dan evidence untuk FR-APD-004 lulus.</x:v>
      </x:c>
      <x:c r="K75" s="12" t="str">
        <x:v>Workflow Squad</x:v>
      </x:c>
      <x:c r="L75" s="12" t="str">
        <x:v>Not Started</x:v>
      </x:c>
    </x:row>
    <x:row r="76">
      <x:c r="A76" s="12" t="str">
        <x:v>PB-075</x:v>
      </x:c>
      <x:c r="B76" s="12" t="str">
        <x:v>APD</x:v>
      </x:c>
      <x:c r="C76" s="12" t="str">
        <x:v>Sebagai panitera tingkat banding, saya membutuhkan seven-day transmission agar proses persidangan elektronik dapat berjalan sah, aman, dan dapat diaudit.</x:v>
      </x:c>
      <x:c r="D76" s="12" t="str">
        <x:v>FR-APD-005</x:v>
      </x:c>
      <x:c r="E76" s="12" t="str">
        <x:v>Sistem menampilkan deadline dan status pengiriman salinan serta berkas dalam tujuh hari.</x:v>
      </x:c>
      <x:c r="F76" s="12" t="str">
        <x:v>MUST</x:v>
      </x:c>
      <x:c r="G76" s="12" t="str">
        <x:v>Sprint 10</x:v>
      </x:c>
      <x:c r="H76" s="12" t="n">
        <x:v>3</x:v>
      </x:c>
      <x:c r="I76" s="12" t="str">
        <x:v>Notice and official record reference</x:v>
      </x:c>
      <x:c r="J76" s="12" t="str">
        <x:v>Positive flow, negative authorization, state transition, audit event, error model, dan evidence untuk FR-APD-005 lulus.</x:v>
      </x:c>
      <x:c r="K76" s="12" t="str">
        <x:v>Workflow Squad</x:v>
      </x:c>
      <x:c r="L76" s="12" t="str">
        <x:v>Not Started</x:v>
      </x:c>
    </x:row>
    <x:row r="77">
      <x:c r="A77" s="12" t="str">
        <x:v>PB-076</x:v>
      </x:c>
      <x:c r="B77" s="12" t="str">
        <x:v>APD</x:v>
      </x:c>
      <x:c r="C77" s="12" t="str">
        <x:v>Sebagai panitera tingkat banding, saya membutuhkan cassation deadline agar proses persidangan elektronik dapat berjalan sah, aman, dan dapat diaudit.</x:v>
      </x:c>
      <x:c r="D77" s="12" t="str">
        <x:v>FR-APD-006</x:v>
      </x:c>
      <x:c r="E77" s="12" t="str">
        <x:v>Sistem menghitung dan menampilkan tenggang 14 hari berdasarkan tanggal mulai yang diverifikasi, dengan audit terhadap perubahan.</x:v>
      </x:c>
      <x:c r="F77" s="12" t="str">
        <x:v>MUST</x:v>
      </x:c>
      <x:c r="G77" s="12" t="str">
        <x:v>Sprint 10</x:v>
      </x:c>
      <x:c r="H77" s="12" t="n">
        <x:v>3</x:v>
      </x:c>
      <x:c r="I77" s="12" t="str">
        <x:v>Notice and official record reference</x:v>
      </x:c>
      <x:c r="J77" s="12" t="str">
        <x:v>Positive flow, negative authorization, state transition, audit event, error model, dan evidence untuk FR-APD-006 lulus.</x:v>
      </x:c>
      <x:c r="K77" s="12" t="str">
        <x:v>Workflow Squad</x:v>
      </x:c>
      <x:c r="L77" s="12" t="str">
        <x:v>Not Started</x:v>
      </x:c>
    </x:row>
    <x:row r="78">
      <x:c r="A78" s="12" t="str">
        <x:v>PB-077</x:v>
      </x:c>
      <x:c r="B78" s="12" t="str">
        <x:v>REC</x:v>
      </x:c>
      <x:c r="C78" s="12" t="str">
        <x:v>Sebagai pengguna berwenang, saya membutuhkan document reference agar proses persidangan elektronik dapat berjalan sah, aman, dan dapat diaudit.</x:v>
      </x:c>
      <x:c r="D78" s="12" t="str">
        <x:v>FR-REC-001</x:v>
      </x:c>
      <x:c r="E78" s="12" t="str">
        <x:v>Dokumen disimpan sebagai metadata, official reference, classification, hash, and status.</x:v>
      </x:c>
      <x:c r="F78" s="12" t="str">
        <x:v>MUST</x:v>
      </x:c>
      <x:c r="G78" s="12" t="str">
        <x:v>Sprint 12</x:v>
      </x:c>
      <x:c r="H78" s="12" t="n">
        <x:v>3</x:v>
      </x:c>
      <x:c r="I78" s="12" t="str">
        <x:v>Technical baseline</x:v>
      </x:c>
      <x:c r="J78" s="12" t="str">
        <x:v>Positive flow, negative authorization, state transition, audit event, error model, dan evidence untuk FR-REC-001 lulus.</x:v>
      </x:c>
      <x:c r="K78" s="12" t="str">
        <x:v>Delivery Team</x:v>
      </x:c>
      <x:c r="L78" s="12" t="str">
        <x:v>Not Started</x:v>
      </x:c>
    </x:row>
    <x:row r="79">
      <x:c r="A79" s="12" t="str">
        <x:v>PB-078</x:v>
      </x:c>
      <x:c r="B79" s="12" t="str">
        <x:v>REC</x:v>
      </x:c>
      <x:c r="C79" s="12" t="str">
        <x:v>Sebagai pengguna berwenang, saya membutuhkan recording reference agar proses persidangan elektronik dapat berjalan sah, aman, dan dapat diaudit.</x:v>
      </x:c>
      <x:c r="D79" s="12" t="str">
        <x:v>FR-REC-002</x:v>
      </x:c>
      <x:c r="E79" s="12" t="str">
        <x:v>Rekaman menyimpan provider or official reference, hash, access, and retention policy.</x:v>
      </x:c>
      <x:c r="F79" s="12" t="str">
        <x:v>MUST</x:v>
      </x:c>
      <x:c r="G79" s="12" t="str">
        <x:v>Sprint 12</x:v>
      </x:c>
      <x:c r="H79" s="12" t="n">
        <x:v>3</x:v>
      </x:c>
      <x:c r="I79" s="12" t="str">
        <x:v>Technical baseline</x:v>
      </x:c>
      <x:c r="J79" s="12" t="str">
        <x:v>Positive flow, negative authorization, state transition, audit event, error model, dan evidence untuk FR-REC-002 lulus.</x:v>
      </x:c>
      <x:c r="K79" s="12" t="str">
        <x:v>Delivery Team</x:v>
      </x:c>
      <x:c r="L79" s="12" t="str">
        <x:v>Not Started</x:v>
      </x:c>
    </x:row>
    <x:row r="80">
      <x:c r="A80" s="12" t="str">
        <x:v>PB-079</x:v>
      </x:c>
      <x:c r="B80" s="12" t="str">
        <x:v>AUD</x:v>
      </x:c>
      <x:c r="C80" s="12" t="str">
        <x:v>Sebagai auditor atau pimpinan, saya membutuhkan append-only audit agar proses persidangan elektronik dapat berjalan sah, aman, dan dapat diaudit.</x:v>
      </x:c>
      <x:c r="D80" s="12" t="str">
        <x:v>FR-AUD-001</x:v>
      </x:c>
      <x:c r="E80" s="12" t="str">
        <x:v>Semua privileged action mempunyai actor, role, unit, object, action, reason, before-after, IP or device, time, and correlation ID.</x:v>
      </x:c>
      <x:c r="F80" s="12" t="str">
        <x:v>MUST</x:v>
      </x:c>
      <x:c r="G80" s="12" t="str">
        <x:v>Sprint 11</x:v>
      </x:c>
      <x:c r="H80" s="12" t="n">
        <x:v>3</x:v>
      </x:c>
      <x:c r="I80" s="12" t="str">
        <x:v>All domain events</x:v>
      </x:c>
      <x:c r="J80" s="12" t="str">
        <x:v>Positive flow, negative authorization, state transition, audit event, error model, dan evidence untuk FR-AUD-001 lulus.</x:v>
      </x:c>
      <x:c r="K80" s="12" t="str">
        <x:v>Platform Squad</x:v>
      </x:c>
      <x:c r="L80" s="12" t="str">
        <x:v>Not Started</x:v>
      </x:c>
    </x:row>
    <x:row r="81">
      <x:c r="A81" s="12" t="str">
        <x:v>PB-080</x:v>
      </x:c>
      <x:c r="B81" s="12" t="str">
        <x:v>AUD</x:v>
      </x:c>
      <x:c r="C81" s="12" t="str">
        <x:v>Sebagai auditor atau pimpinan, saya membutuhkan audit export agar proses persidangan elektronik dapat berjalan sah, aman, dan dapat diaudit.</x:v>
      </x:c>
      <x:c r="D81" s="12" t="str">
        <x:v>FR-AUD-002</x:v>
      </x:c>
      <x:c r="E81" s="12" t="str">
        <x:v>Pengguna berwenang dapat mengekspor paket bukti dengan manifest dan hash.</x:v>
      </x:c>
      <x:c r="F81" s="12" t="str">
        <x:v>MUST</x:v>
      </x:c>
      <x:c r="G81" s="12" t="str">
        <x:v>Sprint 11</x:v>
      </x:c>
      <x:c r="H81" s="12" t="n">
        <x:v>3</x:v>
      </x:c>
      <x:c r="I81" s="12" t="str">
        <x:v>All domain events</x:v>
      </x:c>
      <x:c r="J81" s="12" t="str">
        <x:v>Positive flow, negative authorization, state transition, audit event, error model, dan evidence untuk FR-AUD-002 lulus.</x:v>
      </x:c>
      <x:c r="K81" s="12" t="str">
        <x:v>Platform Squad</x:v>
      </x:c>
      <x:c r="L81" s="12" t="str">
        <x:v>Not Started</x:v>
      </x:c>
    </x:row>
    <x:row r="82">
      <x:c r="A82" s="12" t="str">
        <x:v>PB-081</x:v>
      </x:c>
      <x:c r="B82" s="12" t="str">
        <x:v>MON</x:v>
      </x:c>
      <x:c r="C82" s="12" t="str">
        <x:v>Sebagai pimpinan, saya membutuhkan compliance dashboard agar proses persidangan elektronik dapat berjalan sah, aman, dan dapat diaudit.</x:v>
      </x:c>
      <x:c r="D82" s="12" t="str">
        <x:v>FR-MON-001</x:v>
      </x:c>
      <x:c r="E82" s="12" t="str">
        <x:v>Dashboard menampilkan determination, ack, readiness, technical test, incident, appeal deadline, dan documentation pending.</x:v>
      </x:c>
      <x:c r="F82" s="12" t="str">
        <x:v>MUST</x:v>
      </x:c>
      <x:c r="G82" s="12" t="str">
        <x:v>Sprint 11</x:v>
      </x:c>
      <x:c r="H82" s="12" t="n">
        <x:v>8</x:v>
      </x:c>
      <x:c r="I82" s="12" t="str">
        <x:v>Audit and operational data</x:v>
      </x:c>
      <x:c r="J82" s="12" t="str">
        <x:v>Positive flow, negative authorization, state transition, audit event, error model, dan evidence untuk FR-MON-001 lulus.</x:v>
      </x:c>
      <x:c r="K82" s="12" t="str">
        <x:v>Data and Platform</x:v>
      </x:c>
      <x:c r="L82" s="12" t="str">
        <x:v>Not Started</x:v>
      </x:c>
    </x:row>
    <x:row r="83">
      <x:c r="A83" s="12" t="str">
        <x:v>PB-082</x:v>
      </x:c>
      <x:c r="B83" s="12" t="str">
        <x:v>MON</x:v>
      </x:c>
      <x:c r="C83" s="12" t="str">
        <x:v>Sebagai pimpinan, saya membutuhkan annual evaluation agar proses persidangan elektronik dapat berjalan sah, aman, dan dapat diaudit.</x:v>
      </x:c>
      <x:c r="D83" s="12" t="str">
        <x:v>FR-MON-002</x:v>
      </x:c>
      <x:c r="E83" s="12" t="str">
        <x:v>Sistem menghasilkan laporan periodik untuk monitoring dan evaluasi sekurang-kurangnya tahunan.</x:v>
      </x:c>
      <x:c r="F83" s="12" t="str">
        <x:v>MUST</x:v>
      </x:c>
      <x:c r="G83" s="12" t="str">
        <x:v>Sprint 11</x:v>
      </x:c>
      <x:c r="H83" s="12" t="n">
        <x:v>3</x:v>
      </x:c>
      <x:c r="I83" s="12" t="str">
        <x:v>Audit and operational data</x:v>
      </x:c>
      <x:c r="J83" s="12" t="str">
        <x:v>Positive flow, negative authorization, state transition, audit event, error model, dan evidence untuk FR-MON-002 lulus.</x:v>
      </x:c>
      <x:c r="K83" s="12" t="str">
        <x:v>Data and Platform</x:v>
      </x:c>
      <x:c r="L83" s="12" t="str">
        <x:v>Not Started</x:v>
      </x:c>
    </x:row>
  </x:sheetData>
  <x:conditionalFormatting sqref="L2:L83">
    <x:cfRule type="expression" dxfId="0" priority="1">
      <x:formula>L2="Done"</x:formula>
    </x:cfRule>
    <x:cfRule type="expression" dxfId="1" priority="2">
      <x:formula>L2="Blocked"</x:formula>
    </x:cfRule>
  </x:conditionalFormatting>
  <x:dataValidations count="2">
    <x:dataValidation type="list" sqref="F2:F83">
      <x:formula1>"MUST,SHOULD,COULD"</x:formula1>
    </x:dataValidation>
    <x:dataValidation type="list" sqref="L2:L83">
      <x:formula1>"Not Started,Ready,In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1a29b83cef40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0" hidden="0" customWidth="1"/>
    <x:col min="6" max="6" width="45" hidden="0" customWidth="1"/>
    <x:col min="7" max="7" width="20" hidden="0" customWidth="1"/>
    <x:col min="8" max="8" width="14" hidden="0" customWidth="1"/>
  </x:cols>
  <x:sheetData>
    <x:row r="1">
      <x:c r="A1" s="6" t="str">
        <x:v>Sprint</x:v>
      </x:c>
      <x:c r="B1" s="6" t="str">
        <x:v>Goal</x:v>
      </x:c>
      <x:c r="C1" s="6" t="str">
        <x:v>Planned Items</x:v>
      </x:c>
      <x:c r="D1" s="6" t="str">
        <x:v>Story Points</x:v>
      </x:c>
      <x:c r="E1" s="6" t="str">
        <x:v>Gate</x:v>
      </x:c>
      <x:c r="F1" s="6" t="str">
        <x:v>Demo Scenario</x:v>
      </x:c>
      <x:c r="G1" s="6" t="str">
        <x:v>Primary Owner</x:v>
      </x:c>
      <x:c r="H1" s="6" t="str">
        <x:v>Status</x:v>
      </x:c>
    </x:row>
    <x:row r="2">
      <x:c r="A2" s="12" t="str">
        <x:v>Sprint 0</x:v>
      </x:c>
      <x:c r="B2" s="12" t="str">
        <x:v>Foundation and Governance</x:v>
      </x:c>
      <x:c r="C2" s="12" t="n">
        <x:f>COUNTIF('Product Backlog'!G:G,A2)</x:f>
        <x:v>0</x:v>
      </x:c>
      <x:c r="D2" s="12" t="n">
        <x:f>SUMIF('Product Backlog'!G:G,A2,'Product Backlog'!H:H)</x:f>
        <x:v>0</x:v>
      </x:c>
      <x:c r="E2" s="12" t="str">
        <x:v>G3</x:v>
      </x:c>
      <x:c r="F2" s="12" t="str">
        <x:v>Repo, CI/CD, environment, ADR, data classification, seed strategy</x:v>
      </x:c>
      <x:c r="G2" s="12" t="str">
        <x:v>Delivery Lead</x:v>
      </x:c>
      <x:c r="H2" s="12" t="str">
        <x:v>Planned</x:v>
      </x:c>
    </x:row>
    <x:row r="3">
      <x:c r="A3" s="12" t="str">
        <x:v>Sprint 1</x:v>
      </x:c>
      <x:c r="B3" s="12" t="str">
        <x:v>IAM and Organization</x:v>
      </x:c>
      <x:c r="C3" s="12" t="n">
        <x:f>COUNTIF('Product Backlog'!G:G,A3)</x:f>
        <x:v>4</x:v>
      </x:c>
      <x:c r="D3" s="12" t="n">
        <x:f>SUMIF('Product Backlog'!G:G,A3,'Product Backlog'!H:H)</x:f>
        <x:v>14</x:v>
      </x:c>
      <x:c r="E3" s="12" t="str">
        <x:v>G3</x:v>
      </x:c>
      <x:c r="F3" s="12" t="str">
        <x:v>MFA, role, permission, assignment, delegation</x:v>
      </x:c>
      <x:c r="G3" s="12" t="str">
        <x:v>Delivery Lead</x:v>
      </x:c>
      <x:c r="H3" s="12" t="str">
        <x:v>Planned</x:v>
      </x:c>
    </x:row>
    <x:row r="4">
      <x:c r="A4" s="12" t="str">
        <x:v>Sprint 2</x:v>
      </x:c>
      <x:c r="B4" s="12" t="str">
        <x:v>Case Reference and Determination</x:v>
      </x:c>
      <x:c r="C4" s="12" t="n">
        <x:f>COUNTIF('Product Backlog'!G:G,A4)</x:f>
        <x:v>7</x:v>
      </x:c>
      <x:c r="D4" s="12" t="n">
        <x:f>SUMIF('Product Backlog'!G:G,A4,'Product Backlog'!H:H)</x:f>
        <x:v>23</x:v>
      </x:c>
      <x:c r="E4" s="12" t="str">
        <x:v>G3</x:v>
      </x:c>
      <x:c r="F4" s="12" t="str">
        <x:v>Reference, request, determination, official reference, hard gate</x:v>
      </x:c>
      <x:c r="G4" s="12" t="str">
        <x:v>Delivery Lead</x:v>
      </x:c>
      <x:c r="H4" s="12" t="str">
        <x:v>Planned</x:v>
      </x:c>
    </x:row>
    <x:row r="5">
      <x:c r="A5" s="12" t="str">
        <x:v>Sprint 3</x:v>
      </x:c>
      <x:c r="B5" s="12" t="str">
        <x:v>Scheduling Core</x:v>
      </x:c>
      <x:c r="C5" s="12" t="n">
        <x:f>COUNTIF('Product Backlog'!G:G,A5)</x:f>
        <x:v>9</x:v>
      </x:c>
      <x:c r="D5" s="12" t="n">
        <x:f>SUMIF('Product Backlog'!G:G,A5,'Product Backlog'!H:H)</x:f>
        <x:v>32</x:v>
      </x:c>
      <x:c r="E5" s="12" t="str">
        <x:v>G3</x:v>
      </x:c>
      <x:c r="F5" s="12" t="str">
        <x:v>Availability, constraints, proposal, conflict check</x:v>
      </x:c>
      <x:c r="G5" s="12" t="str">
        <x:v>Delivery Lead</x:v>
      </x:c>
      <x:c r="H5" s="12" t="str">
        <x:v>Planned</x:v>
      </x:c>
    </x:row>
    <x:row r="6">
      <x:c r="A6" s="12" t="str">
        <x:v>Sprint 4</x:v>
      </x:c>
      <x:c r="B6" s="12" t="str">
        <x:v>Scheduling Approval and Versioning</x:v>
      </x:c>
      <x:c r="C6" s="12" t="n">
        <x:f>COUNTIF('Product Backlog'!G:G,A6)</x:f>
        <x:v>6</x:v>
      </x:c>
      <x:c r="D6" s="12" t="n">
        <x:f>SUMIF('Product Backlog'!G:G,A6,'Product Backlog'!H:H)</x:f>
        <x:v>22</x:v>
      </x:c>
      <x:c r="E6" s="12" t="str">
        <x:v>G3</x:v>
      </x:c>
      <x:c r="F6" s="12" t="str">
        <x:v>Approval, ACTIVE schedule, reschedule, audit</x:v>
      </x:c>
      <x:c r="G6" s="12" t="str">
        <x:v>Delivery Lead</x:v>
      </x:c>
      <x:c r="H6" s="12" t="str">
        <x:v>Planned</x:v>
      </x:c>
    </x:row>
    <x:row r="7">
      <x:c r="A7" s="12" t="str">
        <x:v>Sprint 5</x:v>
      </x:c>
      <x:c r="B7" s="12" t="str">
        <x:v>Notice and Acknowledgment</x:v>
      </x:c>
      <x:c r="C7" s="12" t="n">
        <x:f>COUNTIF('Product Backlog'!G:G,A7)</x:f>
        <x:v>6</x:v>
      </x:c>
      <x:c r="D7" s="12" t="n">
        <x:f>SUMIF('Product Backlog'!G:G,A7,'Product Backlog'!H:H)</x:f>
        <x:v>20</x:v>
      </x:c>
      <x:c r="E7" s="12" t="str">
        <x:v>G4</x:v>
      </x:c>
      <x:c r="F7" s="12" t="str">
        <x:v>Notice chain, attempt, proof, acknowledgment, fallback</x:v>
      </x:c>
      <x:c r="G7" s="12" t="str">
        <x:v>Delivery Lead</x:v>
      </x:c>
      <x:c r="H7" s="12" t="str">
        <x:v>Planned</x:v>
      </x:c>
    </x:row>
    <x:row r="8">
      <x:c r="A8" s="12" t="str">
        <x:v>Sprint 6</x:v>
      </x:c>
      <x:c r="B8" s="12" t="str">
        <x:v>Readiness and Verification</x:v>
      </x:c>
      <x:c r="C8" s="12" t="n">
        <x:f>COUNTIF('Product Backlog'!G:G,A8)</x:f>
        <x:v>10</x:v>
      </x:c>
      <x:c r="D8" s="12" t="n">
        <x:f>SUMIF('Product Backlog'!G:G,A8,'Product Backlog'!H:H)</x:f>
        <x:v>37</x:v>
      </x:c>
      <x:c r="E8" s="12" t="str">
        <x:v>G4</x:v>
      </x:c>
      <x:c r="F8" s="12" t="str">
        <x:v>Checklist, technical test, identity, room inspection</x:v>
      </x:c>
      <x:c r="G8" s="12" t="str">
        <x:v>Delivery Lead</x:v>
      </x:c>
      <x:c r="H8" s="12" t="str">
        <x:v>Planned</x:v>
      </x:c>
    </x:row>
    <x:row r="9">
      <x:c r="A9" s="12" t="str">
        <x:v>Sprint 7</x:v>
      </x:c>
      <x:c r="B9" s="12" t="str">
        <x:v>Provider Adapter and Session</x:v>
      </x:c>
      <x:c r="C9" s="12" t="n">
        <x:f>COUNTIF('Product Backlog'!G:G,A9)</x:f>
        <x:v>18</x:v>
      </x:c>
      <x:c r="D9" s="12" t="n">
        <x:f>SUMIF('Product Backlog'!G:G,A9,'Product Backlog'!H:H)</x:f>
        <x:v>65</x:v>
      </x:c>
      <x:c r="E9" s="12" t="str">
        <x:v>G4</x:v>
      </x:c>
      <x:c r="F9" s="12" t="str">
        <x:v>Provider mock, session, room, health, webhook</x:v>
      </x:c>
      <x:c r="G9" s="12" t="str">
        <x:v>Delivery Lead</x:v>
      </x:c>
      <x:c r="H9" s="12" t="str">
        <x:v>Planned</x:v>
      </x:c>
    </x:row>
    <x:row r="10">
      <x:c r="A10" s="12" t="str">
        <x:v>Sprint 8</x:v>
      </x:c>
      <x:c r="B10" s="12" t="str">
        <x:v>Join and Hearing Control</x:v>
      </x:c>
      <x:c r="C10" s="12" t="n">
        <x:f>COUNTIF('Product Backlog'!G:G,A10)</x:f>
        <x:v>4</x:v>
      </x:c>
      <x:c r="D10" s="12" t="n">
        <x:f>SUMIF('Product Backlog'!G:G,A10,'Product Backlog'!H:H)</x:f>
        <x:v>12</x:v>
      </x:c>
      <x:c r="E10" s="12" t="str">
        <x:v>G4</x:v>
      </x:c>
      <x:c r="F10" s="12" t="str">
        <x:v>Token, waiting room, controls, attendance, state</x:v>
      </x:c>
      <x:c r="G10" s="12" t="str">
        <x:v>Delivery Lead</x:v>
      </x:c>
      <x:c r="H10" s="12" t="str">
        <x:v>Planned</x:v>
      </x:c>
    </x:row>
    <x:row r="11">
      <x:c r="A11" s="12" t="str">
        <x:v>Sprint 9</x:v>
      </x:c>
      <x:c r="B11" s="12" t="str">
        <x:v>Incident and Continuity</x:v>
      </x:c>
      <x:c r="C11" s="12" t="n">
        <x:f>COUNTIF('Product Backlog'!G:G,A11)</x:f>
        <x:v>6</x:v>
      </x:c>
      <x:c r="D11" s="12" t="n">
        <x:f>SUMIF('Product Backlog'!G:G,A11,'Product Backlog'!H:H)</x:f>
        <x:v>38</x:v>
      </x:c>
      <x:c r="E11" s="12" t="str">
        <x:v>G4</x:v>
      </x:c>
      <x:c r="F11" s="12" t="str">
        <x:v>Technical, cyber, force majeure, transfer, fallback</x:v>
      </x:c>
      <x:c r="G11" s="12" t="str">
        <x:v>Delivery Lead</x:v>
      </x:c>
      <x:c r="H11" s="12" t="str">
        <x:v>Planned</x:v>
      </x:c>
    </x:row>
    <x:row r="12">
      <x:c r="A12" s="12" t="str">
        <x:v>Sprint 10</x:v>
      </x:c>
      <x:c r="B12" s="12" t="str">
        <x:v>Appeal Decision Workflow</x:v>
      </x:c>
      <x:c r="C12" s="12" t="n">
        <x:f>COUNTIF('Product Backlog'!G:G,A12)</x:f>
        <x:v>6</x:v>
      </x:c>
      <x:c r="D12" s="12" t="n">
        <x:f>SUMIF('Product Backlog'!G:G,A12,'Product Backlog'!H:H)</x:f>
        <x:v>18</x:v>
      </x:c>
      <x:c r="E12" s="12" t="str">
        <x:v>G4</x:v>
      </x:c>
      <x:c r="F12" s="12" t="str">
        <x:v>Notice, presence, excerpt, transmission, deadline</x:v>
      </x:c>
      <x:c r="G12" s="12" t="str">
        <x:v>Delivery Lead</x:v>
      </x:c>
      <x:c r="H12" s="12" t="str">
        <x:v>Planned</x:v>
      </x:c>
    </x:row>
    <x:row r="13">
      <x:c r="A13" s="12" t="str">
        <x:v>Sprint 11</x:v>
      </x:c>
      <x:c r="B13" s="12" t="str">
        <x:v>Audit, Dashboard, Reconciliation</x:v>
      </x:c>
      <x:c r="C13" s="12" t="n">
        <x:f>COUNTIF('Product Backlog'!G:G,A13)</x:f>
        <x:v>4</x:v>
      </x:c>
      <x:c r="D13" s="12" t="n">
        <x:f>SUMIF('Product Backlog'!G:G,A13,'Product Backlog'!H:H)</x:f>
        <x:v>17</x:v>
      </x:c>
      <x:c r="E13" s="12" t="str">
        <x:v>G4</x:v>
      </x:c>
      <x:c r="F13" s="12" t="str">
        <x:v>Immutable audit, compliance metric, reconciliation</x:v>
      </x:c>
      <x:c r="G13" s="12" t="str">
        <x:v>Delivery Lead</x:v>
      </x:c>
      <x:c r="H13" s="12" t="str">
        <x:v>Planned</x:v>
      </x:c>
    </x:row>
    <x:row r="14">
      <x:c r="A14" s="12" t="str">
        <x:v>Sprint 12</x:v>
      </x:c>
      <x:c r="B14" s="12" t="str">
        <x:v>Hardening and Pilot UAT</x:v>
      </x:c>
      <x:c r="C14" s="12" t="n">
        <x:f>COUNTIF('Product Backlog'!G:G,A14)</x:f>
        <x:v>2</x:v>
      </x:c>
      <x:c r="D14" s="12" t="n">
        <x:f>SUMIF('Product Backlog'!G:G,A14,'Product Backlog'!H:H)</x:f>
        <x:v>6</x:v>
      </x:c>
      <x:c r="E14" s="12" t="str">
        <x:v>G5</x:v>
      </x:c>
      <x:c r="F14" s="12" t="str">
        <x:v>Security, performance, resilience, accessibility, training, UAT</x:v>
      </x:c>
      <x:c r="G14" s="12" t="str">
        <x:v>Delivery Lead</x:v>
      </x:c>
      <x:c r="H14" s="12" t="str">
        <x:v>Planned</x:v>
      </x:c>
    </x:row>
  </x:sheetData>
  <x:dataValidations count="1">
    <x:dataValidation type="list" sqref="H2:H14">
      <x:formula1>"Planned,Ready,Active,Completed,Blocked"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45b22a2c4343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22" hidden="0" customWidth="1"/>
  </x:cols>
  <x:sheetData>
    <x:row r="1">
      <x:c r="A1" s="6" t="str">
        <x:v>Backlog ID</x:v>
      </x:c>
      <x:c r="B1" s="6" t="str">
        <x:v>SRS FR</x:v>
      </x:c>
      <x:c r="C1" s="6" t="str">
        <x:v>BRD</x:v>
      </x:c>
      <x:c r="D1" s="6" t="str">
        <x:v>SOP or BPMN Domain</x:v>
      </x:c>
      <x:c r="E1" s="6" t="str">
        <x:v>ERD Entity</x:v>
      </x:c>
      <x:c r="F1" s="6" t="str">
        <x:v>UAT</x:v>
      </x:c>
      <x:c r="G1" s="6" t="str">
        <x:v>Planned Sprint</x:v>
      </x:c>
      <x:c r="H1" s="6" t="str">
        <x:v>Owner</x:v>
      </x:c>
    </x:row>
    <x:row r="2">
      <x:c r="A2" s="12" t="str">
        <x:v>PB-001</x:v>
      </x:c>
      <x:c r="B2" s="12" t="str">
        <x:v>FR-IAM-001</x:v>
      </x:c>
      <x:c r="C2" s="12" t="str">
        <x:v>BR-003, BR-021, BR-022</x:v>
      </x:c>
      <x:c r="D2" s="12" t="str">
        <x:v>IAM</x:v>
      </x:c>
      <x:c r="E2" s="12" t="str">
        <x:v>users, roles, user_roles, assignments, delegations</x:v>
      </x:c>
      <x:c r="F2" s="12" t="str">
        <x:v>UAT-14</x:v>
      </x:c>
      <x:c r="G2" s="12" t="str">
        <x:v>Sprint 1</x:v>
      </x:c>
      <x:c r="H2" s="12" t="str">
        <x:v>IAM Lead</x:v>
      </x:c>
    </x:row>
    <x:row r="3">
      <x:c r="A3" s="12" t="str">
        <x:v>PB-002</x:v>
      </x:c>
      <x:c r="B3" s="12" t="str">
        <x:v>FR-IAM-002</x:v>
      </x:c>
      <x:c r="C3" s="12" t="str">
        <x:v>BR-003, BR-021, BR-022</x:v>
      </x:c>
      <x:c r="D3" s="12" t="str">
        <x:v>IAM</x:v>
      </x:c>
      <x:c r="E3" s="12" t="str">
        <x:v>users, roles, user_roles, assignments, delegations</x:v>
      </x:c>
      <x:c r="F3" s="12" t="str">
        <x:v>UAT-14</x:v>
      </x:c>
      <x:c r="G3" s="12" t="str">
        <x:v>Sprint 1</x:v>
      </x:c>
      <x:c r="H3" s="12" t="str">
        <x:v>IAM Lead</x:v>
      </x:c>
    </x:row>
    <x:row r="4">
      <x:c r="A4" s="12" t="str">
        <x:v>PB-003</x:v>
      </x:c>
      <x:c r="B4" s="12" t="str">
        <x:v>FR-IAM-003</x:v>
      </x:c>
      <x:c r="C4" s="12" t="str">
        <x:v>BR-003, BR-021, BR-022</x:v>
      </x:c>
      <x:c r="D4" s="12" t="str">
        <x:v>IAM</x:v>
      </x:c>
      <x:c r="E4" s="12" t="str">
        <x:v>users, roles, user_roles, assignments, delegations</x:v>
      </x:c>
      <x:c r="F4" s="12" t="str">
        <x:v>UAT-14</x:v>
      </x:c>
      <x:c r="G4" s="12" t="str">
        <x:v>Sprint 1</x:v>
      </x:c>
      <x:c r="H4" s="12" t="str">
        <x:v>IAM Lead</x:v>
      </x:c>
    </x:row>
    <x:row r="5">
      <x:c r="A5" s="12" t="str">
        <x:v>PB-004</x:v>
      </x:c>
      <x:c r="B5" s="12" t="str">
        <x:v>FR-IAM-004</x:v>
      </x:c>
      <x:c r="C5" s="12" t="str">
        <x:v>BR-003, BR-021, BR-022</x:v>
      </x:c>
      <x:c r="D5" s="12" t="str">
        <x:v>IAM</x:v>
      </x:c>
      <x:c r="E5" s="12" t="str">
        <x:v>users, roles, user_roles, assignments, delegations</x:v>
      </x:c>
      <x:c r="F5" s="12" t="str">
        <x:v>UAT-14</x:v>
      </x:c>
      <x:c r="G5" s="12" t="str">
        <x:v>Sprint 1</x:v>
      </x:c>
      <x:c r="H5" s="12" t="str">
        <x:v>IAM Lead</x:v>
      </x:c>
    </x:row>
    <x:row r="6">
      <x:c r="A6" s="12" t="str">
        <x:v>PB-005</x:v>
      </x:c>
      <x:c r="B6" s="12" t="str">
        <x:v>FR-CASE-001</x:v>
      </x:c>
      <x:c r="C6" s="12" t="str">
        <x:v>BR-001</x:v>
      </x:c>
      <x:c r="D6" s="12" t="str">
        <x:v>CASE</x:v>
      </x:c>
      <x:c r="E6" s="12" t="str">
        <x:v>case_references, official_record_references</x:v>
      </x:c>
      <x:c r="F6" s="12" t="str">
        <x:v>UAT-01</x:v>
      </x:c>
      <x:c r="G6" s="12" t="str">
        <x:v>Sprint 2</x:v>
      </x:c>
      <x:c r="H6" s="12" t="str">
        <x:v>Backend Lead</x:v>
      </x:c>
    </x:row>
    <x:row r="7">
      <x:c r="A7" s="12" t="str">
        <x:v>PB-006</x:v>
      </x:c>
      <x:c r="B7" s="12" t="str">
        <x:v>FR-CASE-002</x:v>
      </x:c>
      <x:c r="C7" s="12" t="str">
        <x:v>BR-001</x:v>
      </x:c>
      <x:c r="D7" s="12" t="str">
        <x:v>CASE</x:v>
      </x:c>
      <x:c r="E7" s="12" t="str">
        <x:v>case_references, official_record_references</x:v>
      </x:c>
      <x:c r="F7" s="12" t="str">
        <x:v>UAT-01</x:v>
      </x:c>
      <x:c r="G7" s="12" t="str">
        <x:v>Sprint 2</x:v>
      </x:c>
      <x:c r="H7" s="12" t="str">
        <x:v>Backend Lead</x:v>
      </x:c>
    </x:row>
    <x:row r="8">
      <x:c r="A8" s="12" t="str">
        <x:v>PB-007</x:v>
      </x:c>
      <x:c r="B8" s="12" t="str">
        <x:v>FR-CASE-003</x:v>
      </x:c>
      <x:c r="C8" s="12" t="str">
        <x:v>BR-001</x:v>
      </x:c>
      <x:c r="D8" s="12" t="str">
        <x:v>CASE</x:v>
      </x:c>
      <x:c r="E8" s="12" t="str">
        <x:v>case_references, official_record_references</x:v>
      </x:c>
      <x:c r="F8" s="12" t="str">
        <x:v>UAT-01</x:v>
      </x:c>
      <x:c r="G8" s="12" t="str">
        <x:v>Sprint 2</x:v>
      </x:c>
      <x:c r="H8" s="12" t="str">
        <x:v>Backend Lead</x:v>
      </x:c>
    </x:row>
    <x:row r="9">
      <x:c r="A9" s="12" t="str">
        <x:v>PB-008</x:v>
      </x:c>
      <x:c r="B9" s="12" t="str">
        <x:v>FR-DET-001</x:v>
      </x:c>
      <x:c r="C9" s="12" t="str">
        <x:v>BR-002</x:v>
      </x:c>
      <x:c r="D9" s="12" t="str">
        <x:v>DET</x:v>
      </x:c>
      <x:c r="E9" s="12" t="str">
        <x:v>electronic_hearing_requests, judicial_determinations</x:v>
      </x:c>
      <x:c r="F9" s="12" t="str">
        <x:v>UAT-02</x:v>
      </x:c>
      <x:c r="G9" s="12" t="str">
        <x:v>Sprint 2</x:v>
      </x:c>
      <x:c r="H9" s="12" t="str">
        <x:v>Backend Lead</x:v>
      </x:c>
    </x:row>
    <x:row r="10">
      <x:c r="A10" s="12" t="str">
        <x:v>PB-009</x:v>
      </x:c>
      <x:c r="B10" s="12" t="str">
        <x:v>FR-DET-002</x:v>
      </x:c>
      <x:c r="C10" s="12" t="str">
        <x:v>BR-002</x:v>
      </x:c>
      <x:c r="D10" s="12" t="str">
        <x:v>DET</x:v>
      </x:c>
      <x:c r="E10" s="12" t="str">
        <x:v>electronic_hearing_requests, judicial_determinations</x:v>
      </x:c>
      <x:c r="F10" s="12" t="str">
        <x:v>UAT-02</x:v>
      </x:c>
      <x:c r="G10" s="12" t="str">
        <x:v>Sprint 2</x:v>
      </x:c>
      <x:c r="H10" s="12" t="str">
        <x:v>Backend Lead</x:v>
      </x:c>
    </x:row>
    <x:row r="11">
      <x:c r="A11" s="12" t="str">
        <x:v>PB-010</x:v>
      </x:c>
      <x:c r="B11" s="12" t="str">
        <x:v>FR-DET-003</x:v>
      </x:c>
      <x:c r="C11" s="12" t="str">
        <x:v>BR-002</x:v>
      </x:c>
      <x:c r="D11" s="12" t="str">
        <x:v>DET</x:v>
      </x:c>
      <x:c r="E11" s="12" t="str">
        <x:v>electronic_hearing_requests, judicial_determinations</x:v>
      </x:c>
      <x:c r="F11" s="12" t="str">
        <x:v>UAT-02</x:v>
      </x:c>
      <x:c r="G11" s="12" t="str">
        <x:v>Sprint 2</x:v>
      </x:c>
      <x:c r="H11" s="12" t="str">
        <x:v>Backend Lead</x:v>
      </x:c>
    </x:row>
    <x:row r="12">
      <x:c r="A12" s="12" t="str">
        <x:v>PB-011</x:v>
      </x:c>
      <x:c r="B12" s="12" t="str">
        <x:v>FR-DET-004</x:v>
      </x:c>
      <x:c r="C12" s="12" t="str">
        <x:v>BR-002</x:v>
      </x:c>
      <x:c r="D12" s="12" t="str">
        <x:v>DET</x:v>
      </x:c>
      <x:c r="E12" s="12" t="str">
        <x:v>electronic_hearing_requests, judicial_determinations</x:v>
      </x:c>
      <x:c r="F12" s="12" t="str">
        <x:v>UAT-02</x:v>
      </x:c>
      <x:c r="G12" s="12" t="str">
        <x:v>Sprint 2</x:v>
      </x:c>
      <x:c r="H12" s="12" t="str">
        <x:v>Backend Lead</x:v>
      </x:c>
    </x:row>
    <x:row r="13">
      <x:c r="A13" s="12" t="str">
        <x:v>PB-012</x:v>
      </x:c>
      <x:c r="B13" s="12" t="str">
        <x:v>FR-SCH-001</x:v>
      </x:c>
      <x:c r="C13" s="12" t="str">
        <x:v>BR-004 sampai BR-007</x:v>
      </x:c>
      <x:c r="D13" s="12" t="str">
        <x:v>SCH</x:v>
      </x:c>
      <x:c r="E13" s="12" t="str">
        <x:v>schedule_proposals, constraints, conflicts, hearing_schedules</x:v>
      </x:c>
      <x:c r="F13" s="12" t="str">
        <x:v>UAT-03, UAT-04</x:v>
      </x:c>
      <x:c r="G13" s="12" t="str">
        <x:v>Sprint 3</x:v>
      </x:c>
      <x:c r="H13" s="12" t="str">
        <x:v>Scheduling Squad</x:v>
      </x:c>
    </x:row>
    <x:row r="14">
      <x:c r="A14" s="12" t="str">
        <x:v>PB-013</x:v>
      </x:c>
      <x:c r="B14" s="12" t="str">
        <x:v>FR-SCH-002</x:v>
      </x:c>
      <x:c r="C14" s="12" t="str">
        <x:v>BR-004 sampai BR-007</x:v>
      </x:c>
      <x:c r="D14" s="12" t="str">
        <x:v>SCH</x:v>
      </x:c>
      <x:c r="E14" s="12" t="str">
        <x:v>schedule_proposals, constraints, conflicts, hearing_schedules</x:v>
      </x:c>
      <x:c r="F14" s="12" t="str">
        <x:v>UAT-03, UAT-04</x:v>
      </x:c>
      <x:c r="G14" s="12" t="str">
        <x:v>Sprint 3</x:v>
      </x:c>
      <x:c r="H14" s="12" t="str">
        <x:v>Scheduling Squad</x:v>
      </x:c>
    </x:row>
    <x:row r="15">
      <x:c r="A15" s="12" t="str">
        <x:v>PB-014</x:v>
      </x:c>
      <x:c r="B15" s="12" t="str">
        <x:v>FR-SCH-003</x:v>
      </x:c>
      <x:c r="C15" s="12" t="str">
        <x:v>BR-004 sampai BR-007</x:v>
      </x:c>
      <x:c r="D15" s="12" t="str">
        <x:v>SCH</x:v>
      </x:c>
      <x:c r="E15" s="12" t="str">
        <x:v>schedule_proposals, constraints, conflicts, hearing_schedules</x:v>
      </x:c>
      <x:c r="F15" s="12" t="str">
        <x:v>UAT-03, UAT-04</x:v>
      </x:c>
      <x:c r="G15" s="12" t="str">
        <x:v>Sprint 3</x:v>
      </x:c>
      <x:c r="H15" s="12" t="str">
        <x:v>Scheduling Squad</x:v>
      </x:c>
    </x:row>
    <x:row r="16">
      <x:c r="A16" s="12" t="str">
        <x:v>PB-015</x:v>
      </x:c>
      <x:c r="B16" s="12" t="str">
        <x:v>FR-SCH-004</x:v>
      </x:c>
      <x:c r="C16" s="12" t="str">
        <x:v>BR-004 sampai BR-007</x:v>
      </x:c>
      <x:c r="D16" s="12" t="str">
        <x:v>SCH</x:v>
      </x:c>
      <x:c r="E16" s="12" t="str">
        <x:v>schedule_proposals, constraints, conflicts, hearing_schedules</x:v>
      </x:c>
      <x:c r="F16" s="12" t="str">
        <x:v>UAT-03, UAT-04</x:v>
      </x:c>
      <x:c r="G16" s="12" t="str">
        <x:v>Sprint 3</x:v>
      </x:c>
      <x:c r="H16" s="12" t="str">
        <x:v>Scheduling Squad</x:v>
      </x:c>
    </x:row>
    <x:row r="17">
      <x:c r="A17" s="12" t="str">
        <x:v>PB-016</x:v>
      </x:c>
      <x:c r="B17" s="12" t="str">
        <x:v>FR-SCH-005</x:v>
      </x:c>
      <x:c r="C17" s="12" t="str">
        <x:v>BR-004 sampai BR-007</x:v>
      </x:c>
      <x:c r="D17" s="12" t="str">
        <x:v>SCH</x:v>
      </x:c>
      <x:c r="E17" s="12" t="str">
        <x:v>schedule_proposals, constraints, conflicts, hearing_schedules</x:v>
      </x:c>
      <x:c r="F17" s="12" t="str">
        <x:v>UAT-03, UAT-04</x:v>
      </x:c>
      <x:c r="G17" s="12" t="str">
        <x:v>Sprint 3</x:v>
      </x:c>
      <x:c r="H17" s="12" t="str">
        <x:v>Scheduling Squad</x:v>
      </x:c>
    </x:row>
    <x:row r="18">
      <x:c r="A18" s="12" t="str">
        <x:v>PB-017</x:v>
      </x:c>
      <x:c r="B18" s="12" t="str">
        <x:v>FR-SCH-006</x:v>
      </x:c>
      <x:c r="C18" s="12" t="str">
        <x:v>BR-004 sampai BR-007</x:v>
      </x:c>
      <x:c r="D18" s="12" t="str">
        <x:v>SCH</x:v>
      </x:c>
      <x:c r="E18" s="12" t="str">
        <x:v>schedule_proposals, constraints, conflicts, hearing_schedules</x:v>
      </x:c>
      <x:c r="F18" s="12" t="str">
        <x:v>UAT-03, UAT-04</x:v>
      </x:c>
      <x:c r="G18" s="12" t="str">
        <x:v>Sprint 3</x:v>
      </x:c>
      <x:c r="H18" s="12" t="str">
        <x:v>Scheduling Squad</x:v>
      </x:c>
    </x:row>
    <x:row r="19">
      <x:c r="A19" s="12" t="str">
        <x:v>PB-018</x:v>
      </x:c>
      <x:c r="B19" s="12" t="str">
        <x:v>FR-SCH-007</x:v>
      </x:c>
      <x:c r="C19" s="12" t="str">
        <x:v>BR-004 sampai BR-007</x:v>
      </x:c>
      <x:c r="D19" s="12" t="str">
        <x:v>SCH</x:v>
      </x:c>
      <x:c r="E19" s="12" t="str">
        <x:v>schedule_proposals, constraints, conflicts, hearing_schedules</x:v>
      </x:c>
      <x:c r="F19" s="12" t="str">
        <x:v>UAT-03, UAT-04</x:v>
      </x:c>
      <x:c r="G19" s="12" t="str">
        <x:v>Sprint 4</x:v>
      </x:c>
      <x:c r="H19" s="12" t="str">
        <x:v>Scheduling Squad</x:v>
      </x:c>
    </x:row>
    <x:row r="20">
      <x:c r="A20" s="12" t="str">
        <x:v>PB-019</x:v>
      </x:c>
      <x:c r="B20" s="12" t="str">
        <x:v>FR-SCH-008</x:v>
      </x:c>
      <x:c r="C20" s="12" t="str">
        <x:v>BR-004 sampai BR-007</x:v>
      </x:c>
      <x:c r="D20" s="12" t="str">
        <x:v>SCH</x:v>
      </x:c>
      <x:c r="E20" s="12" t="str">
        <x:v>schedule_proposals, constraints, conflicts, hearing_schedules</x:v>
      </x:c>
      <x:c r="F20" s="12" t="str">
        <x:v>UAT-03, UAT-04</x:v>
      </x:c>
      <x:c r="G20" s="12" t="str">
        <x:v>Sprint 4</x:v>
      </x:c>
      <x:c r="H20" s="12" t="str">
        <x:v>Scheduling Squad</x:v>
      </x:c>
    </x:row>
    <x:row r="21">
      <x:c r="A21" s="12" t="str">
        <x:v>PB-020</x:v>
      </x:c>
      <x:c r="B21" s="12" t="str">
        <x:v>FR-SCH-009</x:v>
      </x:c>
      <x:c r="C21" s="12" t="str">
        <x:v>BR-004 sampai BR-007</x:v>
      </x:c>
      <x:c r="D21" s="12" t="str">
        <x:v>SCH</x:v>
      </x:c>
      <x:c r="E21" s="12" t="str">
        <x:v>schedule_proposals, constraints, conflicts, hearing_schedules</x:v>
      </x:c>
      <x:c r="F21" s="12" t="str">
        <x:v>UAT-03, UAT-04</x:v>
      </x:c>
      <x:c r="G21" s="12" t="str">
        <x:v>Sprint 4</x:v>
      </x:c>
      <x:c r="H21" s="12" t="str">
        <x:v>Scheduling Squad</x:v>
      </x:c>
    </x:row>
    <x:row r="22">
      <x:c r="A22" s="12" t="str">
        <x:v>PB-021</x:v>
      </x:c>
      <x:c r="B22" s="12" t="str">
        <x:v>FR-SCH-010</x:v>
      </x:c>
      <x:c r="C22" s="12" t="str">
        <x:v>BR-004 sampai BR-007</x:v>
      </x:c>
      <x:c r="D22" s="12" t="str">
        <x:v>SCH</x:v>
      </x:c>
      <x:c r="E22" s="12" t="str">
        <x:v>schedule_proposals, constraints, conflicts, hearing_schedules</x:v>
      </x:c>
      <x:c r="F22" s="12" t="str">
        <x:v>UAT-03, UAT-04</x:v>
      </x:c>
      <x:c r="G22" s="12" t="str">
        <x:v>Sprint 4</x:v>
      </x:c>
      <x:c r="H22" s="12" t="str">
        <x:v>Scheduling Squad</x:v>
      </x:c>
    </x:row>
    <x:row r="23">
      <x:c r="A23" s="12" t="str">
        <x:v>PB-022</x:v>
      </x:c>
      <x:c r="B23" s="12" t="str">
        <x:v>FR-SCH-011</x:v>
      </x:c>
      <x:c r="C23" s="12" t="str">
        <x:v>BR-004 sampai BR-007</x:v>
      </x:c>
      <x:c r="D23" s="12" t="str">
        <x:v>SCH</x:v>
      </x:c>
      <x:c r="E23" s="12" t="str">
        <x:v>schedule_proposals, constraints, conflicts, hearing_schedules</x:v>
      </x:c>
      <x:c r="F23" s="12" t="str">
        <x:v>UAT-03, UAT-04</x:v>
      </x:c>
      <x:c r="G23" s="12" t="str">
        <x:v>Sprint 4</x:v>
      </x:c>
      <x:c r="H23" s="12" t="str">
        <x:v>Scheduling Squad</x:v>
      </x:c>
    </x:row>
    <x:row r="24">
      <x:c r="A24" s="12" t="str">
        <x:v>PB-023</x:v>
      </x:c>
      <x:c r="B24" s="12" t="str">
        <x:v>FR-SCH-012</x:v>
      </x:c>
      <x:c r="C24" s="12" t="str">
        <x:v>BR-004 sampai BR-007</x:v>
      </x:c>
      <x:c r="D24" s="12" t="str">
        <x:v>SCH</x:v>
      </x:c>
      <x:c r="E24" s="12" t="str">
        <x:v>schedule_proposals, constraints, conflicts, hearing_schedules</x:v>
      </x:c>
      <x:c r="F24" s="12" t="str">
        <x:v>UAT-03, UAT-04</x:v>
      </x:c>
      <x:c r="G24" s="12" t="str">
        <x:v>Sprint 3</x:v>
      </x:c>
      <x:c r="H24" s="12" t="str">
        <x:v>Scheduling Squad</x:v>
      </x:c>
    </x:row>
    <x:row r="25">
      <x:c r="A25" s="12" t="str">
        <x:v>PB-024</x:v>
      </x:c>
      <x:c r="B25" s="12" t="str">
        <x:v>FR-SCH-013</x:v>
      </x:c>
      <x:c r="C25" s="12" t="str">
        <x:v>BR-004 sampai BR-007</x:v>
      </x:c>
      <x:c r="D25" s="12" t="str">
        <x:v>SCH</x:v>
      </x:c>
      <x:c r="E25" s="12" t="str">
        <x:v>schedule_proposals, constraints, conflicts, hearing_schedules</x:v>
      </x:c>
      <x:c r="F25" s="12" t="str">
        <x:v>UAT-03, UAT-04</x:v>
      </x:c>
      <x:c r="G25" s="12" t="str">
        <x:v>Sprint 3</x:v>
      </x:c>
      <x:c r="H25" s="12" t="str">
        <x:v>Scheduling Squad</x:v>
      </x:c>
    </x:row>
    <x:row r="26">
      <x:c r="A26" s="12" t="str">
        <x:v>PB-025</x:v>
      </x:c>
      <x:c r="B26" s="12" t="str">
        <x:v>FR-SCH-014</x:v>
      </x:c>
      <x:c r="C26" s="12" t="str">
        <x:v>BR-004 sampai BR-007</x:v>
      </x:c>
      <x:c r="D26" s="12" t="str">
        <x:v>SCH</x:v>
      </x:c>
      <x:c r="E26" s="12" t="str">
        <x:v>schedule_proposals, constraints, conflicts, hearing_schedules</x:v>
      </x:c>
      <x:c r="F26" s="12" t="str">
        <x:v>UAT-03, UAT-04</x:v>
      </x:c>
      <x:c r="G26" s="12" t="str">
        <x:v>Sprint 3</x:v>
      </x:c>
      <x:c r="H26" s="12" t="str">
        <x:v>Scheduling Squad</x:v>
      </x:c>
    </x:row>
    <x:row r="27">
      <x:c r="A27" s="12" t="str">
        <x:v>PB-026</x:v>
      </x:c>
      <x:c r="B27" s="12" t="str">
        <x:v>FR-SCH-015</x:v>
      </x:c>
      <x:c r="C27" s="12" t="str">
        <x:v>BR-004 sampai BR-007</x:v>
      </x:c>
      <x:c r="D27" s="12" t="str">
        <x:v>SCH</x:v>
      </x:c>
      <x:c r="E27" s="12" t="str">
        <x:v>schedule_proposals, constraints, conflicts, hearing_schedules</x:v>
      </x:c>
      <x:c r="F27" s="12" t="str">
        <x:v>UAT-03, UAT-04</x:v>
      </x:c>
      <x:c r="G27" s="12" t="str">
        <x:v>Sprint 4</x:v>
      </x:c>
      <x:c r="H27" s="12" t="str">
        <x:v>Scheduling Squad</x:v>
      </x:c>
    </x:row>
    <x:row r="28">
      <x:c r="A28" s="12" t="str">
        <x:v>PB-027</x:v>
      </x:c>
      <x:c r="B28" s="12" t="str">
        <x:v>FR-NTC-001</x:v>
      </x:c>
      <x:c r="C28" s="12" t="str">
        <x:v>BR-010 sampai BR-012</x:v>
      </x:c>
      <x:c r="D28" s="12" t="str">
        <x:v>NTC</x:v>
      </x:c>
      <x:c r="E28" s="12" t="str">
        <x:v>official_notices, recipients, delivery_attempts, acknowledgments</x:v>
      </x:c>
      <x:c r="F28" s="12" t="str">
        <x:v>UAT-05</x:v>
      </x:c>
      <x:c r="G28" s="12" t="str">
        <x:v>Sprint 5</x:v>
      </x:c>
      <x:c r="H28" s="12" t="str">
        <x:v>Integration Squad</x:v>
      </x:c>
    </x:row>
    <x:row r="29">
      <x:c r="A29" s="12" t="str">
        <x:v>PB-028</x:v>
      </x:c>
      <x:c r="B29" s="12" t="str">
        <x:v>FR-NTC-002</x:v>
      </x:c>
      <x:c r="C29" s="12" t="str">
        <x:v>BR-010 sampai BR-012</x:v>
      </x:c>
      <x:c r="D29" s="12" t="str">
        <x:v>NTC</x:v>
      </x:c>
      <x:c r="E29" s="12" t="str">
        <x:v>official_notices, recipients, delivery_attempts, acknowledgments</x:v>
      </x:c>
      <x:c r="F29" s="12" t="str">
        <x:v>UAT-05</x:v>
      </x:c>
      <x:c r="G29" s="12" t="str">
        <x:v>Sprint 5</x:v>
      </x:c>
      <x:c r="H29" s="12" t="str">
        <x:v>Integration Squad</x:v>
      </x:c>
    </x:row>
    <x:row r="30">
      <x:c r="A30" s="12" t="str">
        <x:v>PB-029</x:v>
      </x:c>
      <x:c r="B30" s="12" t="str">
        <x:v>FR-NTC-003</x:v>
      </x:c>
      <x:c r="C30" s="12" t="str">
        <x:v>BR-010 sampai BR-012</x:v>
      </x:c>
      <x:c r="D30" s="12" t="str">
        <x:v>NTC</x:v>
      </x:c>
      <x:c r="E30" s="12" t="str">
        <x:v>official_notices, recipients, delivery_attempts, acknowledgments</x:v>
      </x:c>
      <x:c r="F30" s="12" t="str">
        <x:v>UAT-05</x:v>
      </x:c>
      <x:c r="G30" s="12" t="str">
        <x:v>Sprint 5</x:v>
      </x:c>
      <x:c r="H30" s="12" t="str">
        <x:v>Integration Squad</x:v>
      </x:c>
    </x:row>
    <x:row r="31">
      <x:c r="A31" s="12" t="str">
        <x:v>PB-030</x:v>
      </x:c>
      <x:c r="B31" s="12" t="str">
        <x:v>FR-NTC-004</x:v>
      </x:c>
      <x:c r="C31" s="12" t="str">
        <x:v>BR-010 sampai BR-012</x:v>
      </x:c>
      <x:c r="D31" s="12" t="str">
        <x:v>NTC</x:v>
      </x:c>
      <x:c r="E31" s="12" t="str">
        <x:v>official_notices, recipients, delivery_attempts, acknowledgments</x:v>
      </x:c>
      <x:c r="F31" s="12" t="str">
        <x:v>UAT-05</x:v>
      </x:c>
      <x:c r="G31" s="12" t="str">
        <x:v>Sprint 5</x:v>
      </x:c>
      <x:c r="H31" s="12" t="str">
        <x:v>Integration Squad</x:v>
      </x:c>
    </x:row>
    <x:row r="32">
      <x:c r="A32" s="12" t="str">
        <x:v>PB-031</x:v>
      </x:c>
      <x:c r="B32" s="12" t="str">
        <x:v>FR-NTC-005</x:v>
      </x:c>
      <x:c r="C32" s="12" t="str">
        <x:v>BR-010 sampai BR-012</x:v>
      </x:c>
      <x:c r="D32" s="12" t="str">
        <x:v>NTC</x:v>
      </x:c>
      <x:c r="E32" s="12" t="str">
        <x:v>official_notices, recipients, delivery_attempts, acknowledgments</x:v>
      </x:c>
      <x:c r="F32" s="12" t="str">
        <x:v>UAT-05</x:v>
      </x:c>
      <x:c r="G32" s="12" t="str">
        <x:v>Sprint 5</x:v>
      </x:c>
      <x:c r="H32" s="12" t="str">
        <x:v>Integration Squad</x:v>
      </x:c>
    </x:row>
    <x:row r="33">
      <x:c r="A33" s="12" t="str">
        <x:v>PB-032</x:v>
      </x:c>
      <x:c r="B33" s="12" t="str">
        <x:v>FR-NTC-006</x:v>
      </x:c>
      <x:c r="C33" s="12" t="str">
        <x:v>BR-010 sampai BR-012</x:v>
      </x:c>
      <x:c r="D33" s="12" t="str">
        <x:v>NTC</x:v>
      </x:c>
      <x:c r="E33" s="12" t="str">
        <x:v>official_notices, recipients, delivery_attempts, acknowledgments</x:v>
      </x:c>
      <x:c r="F33" s="12" t="str">
        <x:v>UAT-05</x:v>
      </x:c>
      <x:c r="G33" s="12" t="str">
        <x:v>Sprint 5</x:v>
      </x:c>
      <x:c r="H33" s="12" t="str">
        <x:v>Integration Squad</x:v>
      </x:c>
    </x:row>
    <x:row r="34">
      <x:c r="A34" s="12" t="str">
        <x:v>PB-033</x:v>
      </x:c>
      <x:c r="B34" s="12" t="str">
        <x:v>FR-RDY-001</x:v>
      </x:c>
      <x:c r="C34" s="12" t="str">
        <x:v>BR-013</x:v>
      </x:c>
      <x:c r="D34" s="12" t="str">
        <x:v>RDY</x:v>
      </x:c>
      <x:c r="E34" s="12" t="str">
        <x:v>readiness_submissions, readiness_items, technical_tests</x:v>
      </x:c>
      <x:c r="F34" s="12" t="str">
        <x:v>UAT-06</x:v>
      </x:c>
      <x:c r="G34" s="12" t="str">
        <x:v>Sprint 6</x:v>
      </x:c>
      <x:c r="H34" s="12" t="str">
        <x:v>Workflow Squad</x:v>
      </x:c>
    </x:row>
    <x:row r="35">
      <x:c r="A35" s="12" t="str">
        <x:v>PB-034</x:v>
      </x:c>
      <x:c r="B35" s="12" t="str">
        <x:v>FR-RDY-002</x:v>
      </x:c>
      <x:c r="C35" s="12" t="str">
        <x:v>BR-013</x:v>
      </x:c>
      <x:c r="D35" s="12" t="str">
        <x:v>RDY</x:v>
      </x:c>
      <x:c r="E35" s="12" t="str">
        <x:v>readiness_submissions, readiness_items, technical_tests</x:v>
      </x:c>
      <x:c r="F35" s="12" t="str">
        <x:v>UAT-06</x:v>
      </x:c>
      <x:c r="G35" s="12" t="str">
        <x:v>Sprint 6</x:v>
      </x:c>
      <x:c r="H35" s="12" t="str">
        <x:v>Workflow Squad</x:v>
      </x:c>
    </x:row>
    <x:row r="36">
      <x:c r="A36" s="12" t="str">
        <x:v>PB-035</x:v>
      </x:c>
      <x:c r="B36" s="12" t="str">
        <x:v>FR-RDY-003</x:v>
      </x:c>
      <x:c r="C36" s="12" t="str">
        <x:v>BR-013</x:v>
      </x:c>
      <x:c r="D36" s="12" t="str">
        <x:v>RDY</x:v>
      </x:c>
      <x:c r="E36" s="12" t="str">
        <x:v>readiness_submissions, readiness_items, technical_tests</x:v>
      </x:c>
      <x:c r="F36" s="12" t="str">
        <x:v>UAT-06</x:v>
      </x:c>
      <x:c r="G36" s="12" t="str">
        <x:v>Sprint 6</x:v>
      </x:c>
      <x:c r="H36" s="12" t="str">
        <x:v>Workflow Squad</x:v>
      </x:c>
    </x:row>
    <x:row r="37">
      <x:c r="A37" s="12" t="str">
        <x:v>PB-036</x:v>
      </x:c>
      <x:c r="B37" s="12" t="str">
        <x:v>FR-RDY-004</x:v>
      </x:c>
      <x:c r="C37" s="12" t="str">
        <x:v>BR-013</x:v>
      </x:c>
      <x:c r="D37" s="12" t="str">
        <x:v>RDY</x:v>
      </x:c>
      <x:c r="E37" s="12" t="str">
        <x:v>readiness_submissions, readiness_items, technical_tests</x:v>
      </x:c>
      <x:c r="F37" s="12" t="str">
        <x:v>UAT-06</x:v>
      </x:c>
      <x:c r="G37" s="12" t="str">
        <x:v>Sprint 6</x:v>
      </x:c>
      <x:c r="H37" s="12" t="str">
        <x:v>Workflow Squad</x:v>
      </x:c>
    </x:row>
    <x:row r="38">
      <x:c r="A38" s="12" t="str">
        <x:v>PB-037</x:v>
      </x:c>
      <x:c r="B38" s="12" t="str">
        <x:v>FR-RDY-005</x:v>
      </x:c>
      <x:c r="C38" s="12" t="str">
        <x:v>BR-013</x:v>
      </x:c>
      <x:c r="D38" s="12" t="str">
        <x:v>RDY</x:v>
      </x:c>
      <x:c r="E38" s="12" t="str">
        <x:v>readiness_submissions, readiness_items, technical_tests</x:v>
      </x:c>
      <x:c r="F38" s="12" t="str">
        <x:v>UAT-06</x:v>
      </x:c>
      <x:c r="G38" s="12" t="str">
        <x:v>Sprint 6</x:v>
      </x:c>
      <x:c r="H38" s="12" t="str">
        <x:v>Workflow Squad</x:v>
      </x:c>
    </x:row>
    <x:row r="39">
      <x:c r="A39" s="12" t="str">
        <x:v>PB-038</x:v>
      </x:c>
      <x:c r="B39" s="12" t="str">
        <x:v>FR-VER-001</x:v>
      </x:c>
      <x:c r="C39" s="12" t="str">
        <x:v>BR-014 sampai BR-016</x:v>
      </x:c>
      <x:c r="D39" s="12" t="str">
        <x:v>VER</x:v>
      </x:c>
      <x:c r="E39" s="12" t="str">
        <x:v>identity_verifications, room_inspections, consultation_sessions</x:v>
      </x:c>
      <x:c r="F39" s="12" t="str">
        <x:v>UAT-07</x:v>
      </x:c>
      <x:c r="G39" s="12" t="str">
        <x:v>Sprint 6</x:v>
      </x:c>
      <x:c r="H39" s="12" t="str">
        <x:v>Workflow Squad</x:v>
      </x:c>
    </x:row>
    <x:row r="40">
      <x:c r="A40" s="12" t="str">
        <x:v>PB-039</x:v>
      </x:c>
      <x:c r="B40" s="12" t="str">
        <x:v>FR-VER-002</x:v>
      </x:c>
      <x:c r="C40" s="12" t="str">
        <x:v>BR-014 sampai BR-016</x:v>
      </x:c>
      <x:c r="D40" s="12" t="str">
        <x:v>VER</x:v>
      </x:c>
      <x:c r="E40" s="12" t="str">
        <x:v>identity_verifications, room_inspections, consultation_sessions</x:v>
      </x:c>
      <x:c r="F40" s="12" t="str">
        <x:v>UAT-07</x:v>
      </x:c>
      <x:c r="G40" s="12" t="str">
        <x:v>Sprint 6</x:v>
      </x:c>
      <x:c r="H40" s="12" t="str">
        <x:v>Workflow Squad</x:v>
      </x:c>
    </x:row>
    <x:row r="41">
      <x:c r="A41" s="12" t="str">
        <x:v>PB-040</x:v>
      </x:c>
      <x:c r="B41" s="12" t="str">
        <x:v>FR-VER-003</x:v>
      </x:c>
      <x:c r="C41" s="12" t="str">
        <x:v>BR-014 sampai BR-016</x:v>
      </x:c>
      <x:c r="D41" s="12" t="str">
        <x:v>VER</x:v>
      </x:c>
      <x:c r="E41" s="12" t="str">
        <x:v>identity_verifications, room_inspections, consultation_sessions</x:v>
      </x:c>
      <x:c r="F41" s="12" t="str">
        <x:v>UAT-07</x:v>
      </x:c>
      <x:c r="G41" s="12" t="str">
        <x:v>Sprint 6</x:v>
      </x:c>
      <x:c r="H41" s="12" t="str">
        <x:v>Workflow Squad</x:v>
      </x:c>
    </x:row>
    <x:row r="42">
      <x:c r="A42" s="12" t="str">
        <x:v>PB-041</x:v>
      </x:c>
      <x:c r="B42" s="12" t="str">
        <x:v>FR-VER-004</x:v>
      </x:c>
      <x:c r="C42" s="12" t="str">
        <x:v>BR-014 sampai BR-016</x:v>
      </x:c>
      <x:c r="D42" s="12" t="str">
        <x:v>VER</x:v>
      </x:c>
      <x:c r="E42" s="12" t="str">
        <x:v>identity_verifications, room_inspections, consultation_sessions</x:v>
      </x:c>
      <x:c r="F42" s="12" t="str">
        <x:v>UAT-07</x:v>
      </x:c>
      <x:c r="G42" s="12" t="str">
        <x:v>Sprint 6</x:v>
      </x:c>
      <x:c r="H42" s="12" t="str">
        <x:v>Workflow Squad</x:v>
      </x:c>
    </x:row>
    <x:row r="43">
      <x:c r="A43" s="12" t="str">
        <x:v>PB-042</x:v>
      </x:c>
      <x:c r="B43" s="12" t="str">
        <x:v>FR-VER-005</x:v>
      </x:c>
      <x:c r="C43" s="12" t="str">
        <x:v>BR-014 sampai BR-016</x:v>
      </x:c>
      <x:c r="D43" s="12" t="str">
        <x:v>VER</x:v>
      </x:c>
      <x:c r="E43" s="12" t="str">
        <x:v>identity_verifications, room_inspections, consultation_sessions</x:v>
      </x:c>
      <x:c r="F43" s="12" t="str">
        <x:v>UAT-07</x:v>
      </x:c>
      <x:c r="G43" s="12" t="str">
        <x:v>Sprint 6</x:v>
      </x:c>
      <x:c r="H43" s="12" t="str">
        <x:v>Workflow Squad</x:v>
      </x:c>
    </x:row>
    <x:row r="44">
      <x:c r="A44" s="12" t="str">
        <x:v>PB-043</x:v>
      </x:c>
      <x:c r="B44" s="12" t="str">
        <x:v>FR-VHC-001</x:v>
      </x:c>
      <x:c r="C44" s="12" t="str">
        <x:v>BR-008, BR-009, BR-015, BR-017</x:v>
      </x:c>
      <x:c r="D44" s="12" t="str">
        <x:v>VHC</x:v>
      </x:c>
      <x:c r="E44" s="12" t="str">
        <x:v>virtual_sessions, virtual_rooms, join_tokens</x:v>
      </x:c>
      <x:c r="F44" s="12" t="str">
        <x:v>UAT-01, UAT-07, UAT-13</x:v>
      </x:c>
      <x:c r="G44" s="12" t="str">
        <x:v>Sprint 7</x:v>
      </x:c>
      <x:c r="H44" s="12" t="str">
        <x:v>Virtual Hearing Squad</x:v>
      </x:c>
    </x:row>
    <x:row r="45">
      <x:c r="A45" s="12" t="str">
        <x:v>PB-044</x:v>
      </x:c>
      <x:c r="B45" s="12" t="str">
        <x:v>FR-VHC-002</x:v>
      </x:c>
      <x:c r="C45" s="12" t="str">
        <x:v>BR-008, BR-009, BR-015, BR-017</x:v>
      </x:c>
      <x:c r="D45" s="12" t="str">
        <x:v>VHC</x:v>
      </x:c>
      <x:c r="E45" s="12" t="str">
        <x:v>virtual_sessions, virtual_rooms, join_tokens</x:v>
      </x:c>
      <x:c r="F45" s="12" t="str">
        <x:v>UAT-01, UAT-07, UAT-13</x:v>
      </x:c>
      <x:c r="G45" s="12" t="str">
        <x:v>Sprint 7</x:v>
      </x:c>
      <x:c r="H45" s="12" t="str">
        <x:v>Virtual Hearing Squad</x:v>
      </x:c>
    </x:row>
    <x:row r="46">
      <x:c r="A46" s="12" t="str">
        <x:v>PB-045</x:v>
      </x:c>
      <x:c r="B46" s="12" t="str">
        <x:v>FR-VHC-003</x:v>
      </x:c>
      <x:c r="C46" s="12" t="str">
        <x:v>BR-008, BR-009, BR-015, BR-017</x:v>
      </x:c>
      <x:c r="D46" s="12" t="str">
        <x:v>VHC</x:v>
      </x:c>
      <x:c r="E46" s="12" t="str">
        <x:v>virtual_sessions, virtual_rooms, join_tokens</x:v>
      </x:c>
      <x:c r="F46" s="12" t="str">
        <x:v>UAT-01, UAT-07, UAT-13</x:v>
      </x:c>
      <x:c r="G46" s="12" t="str">
        <x:v>Sprint 7</x:v>
      </x:c>
      <x:c r="H46" s="12" t="str">
        <x:v>Virtual Hearing Squad</x:v>
      </x:c>
    </x:row>
    <x:row r="47">
      <x:c r="A47" s="12" t="str">
        <x:v>PB-046</x:v>
      </x:c>
      <x:c r="B47" s="12" t="str">
        <x:v>FR-VHC-004</x:v>
      </x:c>
      <x:c r="C47" s="12" t="str">
        <x:v>BR-008, BR-009, BR-015, BR-017</x:v>
      </x:c>
      <x:c r="D47" s="12" t="str">
        <x:v>VHC</x:v>
      </x:c>
      <x:c r="E47" s="12" t="str">
        <x:v>virtual_sessions, virtual_rooms, join_tokens</x:v>
      </x:c>
      <x:c r="F47" s="12" t="str">
        <x:v>UAT-01, UAT-07, UAT-13</x:v>
      </x:c>
      <x:c r="G47" s="12" t="str">
        <x:v>Sprint 7</x:v>
      </x:c>
      <x:c r="H47" s="12" t="str">
        <x:v>Virtual Hearing Squad</x:v>
      </x:c>
    </x:row>
    <x:row r="48">
      <x:c r="A48" s="12" t="str">
        <x:v>PB-047</x:v>
      </x:c>
      <x:c r="B48" s="12" t="str">
        <x:v>FR-VHC-005</x:v>
      </x:c>
      <x:c r="C48" s="12" t="str">
        <x:v>BR-008, BR-009, BR-015, BR-017</x:v>
      </x:c>
      <x:c r="D48" s="12" t="str">
        <x:v>VHC</x:v>
      </x:c>
      <x:c r="E48" s="12" t="str">
        <x:v>virtual_sessions, virtual_rooms, join_tokens</x:v>
      </x:c>
      <x:c r="F48" s="12" t="str">
        <x:v>UAT-01, UAT-07, UAT-13</x:v>
      </x:c>
      <x:c r="G48" s="12" t="str">
        <x:v>Sprint 7</x:v>
      </x:c>
      <x:c r="H48" s="12" t="str">
        <x:v>Virtual Hearing Squad</x:v>
      </x:c>
    </x:row>
    <x:row r="49">
      <x:c r="A49" s="12" t="str">
        <x:v>PB-048</x:v>
      </x:c>
      <x:c r="B49" s="12" t="str">
        <x:v>FR-VHC-006</x:v>
      </x:c>
      <x:c r="C49" s="12" t="str">
        <x:v>BR-008, BR-009, BR-015, BR-017</x:v>
      </x:c>
      <x:c r="D49" s="12" t="str">
        <x:v>VHC</x:v>
      </x:c>
      <x:c r="E49" s="12" t="str">
        <x:v>virtual_sessions, virtual_rooms, join_tokens</x:v>
      </x:c>
      <x:c r="F49" s="12" t="str">
        <x:v>UAT-01, UAT-07, UAT-13</x:v>
      </x:c>
      <x:c r="G49" s="12" t="str">
        <x:v>Sprint 7</x:v>
      </x:c>
      <x:c r="H49" s="12" t="str">
        <x:v>Virtual Hearing Squad</x:v>
      </x:c>
    </x:row>
    <x:row r="50">
      <x:c r="A50" s="12" t="str">
        <x:v>PB-049</x:v>
      </x:c>
      <x:c r="B50" s="12" t="str">
        <x:v>FR-VHC-007</x:v>
      </x:c>
      <x:c r="C50" s="12" t="str">
        <x:v>BR-008, BR-009, BR-015, BR-017</x:v>
      </x:c>
      <x:c r="D50" s="12" t="str">
        <x:v>VHC</x:v>
      </x:c>
      <x:c r="E50" s="12" t="str">
        <x:v>virtual_sessions, virtual_rooms, join_tokens</x:v>
      </x:c>
      <x:c r="F50" s="12" t="str">
        <x:v>UAT-01, UAT-07, UAT-13</x:v>
      </x:c>
      <x:c r="G50" s="12" t="str">
        <x:v>Sprint 7</x:v>
      </x:c>
      <x:c r="H50" s="12" t="str">
        <x:v>Virtual Hearing Squad</x:v>
      </x:c>
    </x:row>
    <x:row r="51">
      <x:c r="A51" s="12" t="str">
        <x:v>PB-050</x:v>
      </x:c>
      <x:c r="B51" s="12" t="str">
        <x:v>FR-VHC-008</x:v>
      </x:c>
      <x:c r="C51" s="12" t="str">
        <x:v>BR-008, BR-009, BR-015, BR-017</x:v>
      </x:c>
      <x:c r="D51" s="12" t="str">
        <x:v>VHC</x:v>
      </x:c>
      <x:c r="E51" s="12" t="str">
        <x:v>virtual_sessions, virtual_rooms, join_tokens</x:v>
      </x:c>
      <x:c r="F51" s="12" t="str">
        <x:v>UAT-01, UAT-07, UAT-13</x:v>
      </x:c>
      <x:c r="G51" s="12" t="str">
        <x:v>Sprint 7</x:v>
      </x:c>
      <x:c r="H51" s="12" t="str">
        <x:v>Virtual Hearing Squad</x:v>
      </x:c>
    </x:row>
    <x:row r="52">
      <x:c r="A52" s="12" t="str">
        <x:v>PB-051</x:v>
      </x:c>
      <x:c r="B52" s="12" t="str">
        <x:v>FR-VHC-009</x:v>
      </x:c>
      <x:c r="C52" s="12" t="str">
        <x:v>BR-008, BR-009, BR-015, BR-017</x:v>
      </x:c>
      <x:c r="D52" s="12" t="str">
        <x:v>VHC</x:v>
      </x:c>
      <x:c r="E52" s="12" t="str">
        <x:v>virtual_sessions, virtual_rooms, join_tokens</x:v>
      </x:c>
      <x:c r="F52" s="12" t="str">
        <x:v>UAT-01, UAT-07, UAT-13</x:v>
      </x:c>
      <x:c r="G52" s="12" t="str">
        <x:v>Sprint 7</x:v>
      </x:c>
      <x:c r="H52" s="12" t="str">
        <x:v>Virtual Hearing Squad</x:v>
      </x:c>
    </x:row>
    <x:row r="53">
      <x:c r="A53" s="12" t="str">
        <x:v>PB-052</x:v>
      </x:c>
      <x:c r="B53" s="12" t="str">
        <x:v>FR-VHC-010</x:v>
      </x:c>
      <x:c r="C53" s="12" t="str">
        <x:v>BR-008, BR-009, BR-015, BR-017</x:v>
      </x:c>
      <x:c r="D53" s="12" t="str">
        <x:v>VHC</x:v>
      </x:c>
      <x:c r="E53" s="12" t="str">
        <x:v>virtual_sessions, virtual_rooms, join_tokens</x:v>
      </x:c>
      <x:c r="F53" s="12" t="str">
        <x:v>UAT-01, UAT-07, UAT-13</x:v>
      </x:c>
      <x:c r="G53" s="12" t="str">
        <x:v>Sprint 7</x:v>
      </x:c>
      <x:c r="H53" s="12" t="str">
        <x:v>Virtual Hearing Squad</x:v>
      </x:c>
    </x:row>
    <x:row r="54">
      <x:c r="A54" s="12" t="str">
        <x:v>PB-053</x:v>
      </x:c>
      <x:c r="B54" s="12" t="str">
        <x:v>FR-VHC-011</x:v>
      </x:c>
      <x:c r="C54" s="12" t="str">
        <x:v>BR-008, BR-009, BR-015, BR-017</x:v>
      </x:c>
      <x:c r="D54" s="12" t="str">
        <x:v>VHC</x:v>
      </x:c>
      <x:c r="E54" s="12" t="str">
        <x:v>virtual_sessions, virtual_rooms, join_tokens</x:v>
      </x:c>
      <x:c r="F54" s="12" t="str">
        <x:v>UAT-01, UAT-07, UAT-13</x:v>
      </x:c>
      <x:c r="G54" s="12" t="str">
        <x:v>Sprint 7</x:v>
      </x:c>
      <x:c r="H54" s="12" t="str">
        <x:v>Virtual Hearing Squad</x:v>
      </x:c>
    </x:row>
    <x:row r="55">
      <x:c r="A55" s="12" t="str">
        <x:v>PB-054</x:v>
      </x:c>
      <x:c r="B55" s="12" t="str">
        <x:v>FR-VHC-012</x:v>
      </x:c>
      <x:c r="C55" s="12" t="str">
        <x:v>BR-008, BR-009, BR-015, BR-017</x:v>
      </x:c>
      <x:c r="D55" s="12" t="str">
        <x:v>VHC</x:v>
      </x:c>
      <x:c r="E55" s="12" t="str">
        <x:v>virtual_sessions, virtual_rooms, join_tokens</x:v>
      </x:c>
      <x:c r="F55" s="12" t="str">
        <x:v>UAT-01, UAT-07, UAT-13</x:v>
      </x:c>
      <x:c r="G55" s="12" t="str">
        <x:v>Sprint 7</x:v>
      </x:c>
      <x:c r="H55" s="12" t="str">
        <x:v>Virtual Hearing Squad</x:v>
      </x:c>
    </x:row>
    <x:row r="56">
      <x:c r="A56" s="12" t="str">
        <x:v>PB-055</x:v>
      </x:c>
      <x:c r="B56" s="12" t="str">
        <x:v>FR-VHC-013</x:v>
      </x:c>
      <x:c r="C56" s="12" t="str">
        <x:v>BR-008, BR-009, BR-015, BR-017</x:v>
      </x:c>
      <x:c r="D56" s="12" t="str">
        <x:v>VHC</x:v>
      </x:c>
      <x:c r="E56" s="12" t="str">
        <x:v>virtual_sessions, virtual_rooms, join_tokens</x:v>
      </x:c>
      <x:c r="F56" s="12" t="str">
        <x:v>UAT-01, UAT-07, UAT-13</x:v>
      </x:c>
      <x:c r="G56" s="12" t="str">
        <x:v>Sprint 7</x:v>
      </x:c>
      <x:c r="H56" s="12" t="str">
        <x:v>Virtual Hearing Squad</x:v>
      </x:c>
    </x:row>
    <x:row r="57">
      <x:c r="A57" s="12" t="str">
        <x:v>PB-056</x:v>
      </x:c>
      <x:c r="B57" s="12" t="str">
        <x:v>FR-VHC-014</x:v>
      </x:c>
      <x:c r="C57" s="12" t="str">
        <x:v>BR-008, BR-009, BR-015, BR-017</x:v>
      </x:c>
      <x:c r="D57" s="12" t="str">
        <x:v>VHC</x:v>
      </x:c>
      <x:c r="E57" s="12" t="str">
        <x:v>virtual_sessions, virtual_rooms, join_tokens</x:v>
      </x:c>
      <x:c r="F57" s="12" t="str">
        <x:v>UAT-01, UAT-07, UAT-13</x:v>
      </x:c>
      <x:c r="G57" s="12" t="str">
        <x:v>Sprint 7</x:v>
      </x:c>
      <x:c r="H57" s="12" t="str">
        <x:v>Virtual Hearing Squad</x:v>
      </x:c>
    </x:row>
    <x:row r="58">
      <x:c r="A58" s="12" t="str">
        <x:v>PB-057</x:v>
      </x:c>
      <x:c r="B58" s="12" t="str">
        <x:v>FR-VHC-015</x:v>
      </x:c>
      <x:c r="C58" s="12" t="str">
        <x:v>BR-008, BR-009, BR-015, BR-017</x:v>
      </x:c>
      <x:c r="D58" s="12" t="str">
        <x:v>VHC</x:v>
      </x:c>
      <x:c r="E58" s="12" t="str">
        <x:v>virtual_sessions, virtual_rooms, join_tokens</x:v>
      </x:c>
      <x:c r="F58" s="12" t="str">
        <x:v>UAT-01, UAT-07, UAT-13</x:v>
      </x:c>
      <x:c r="G58" s="12" t="str">
        <x:v>Sprint 7</x:v>
      </x:c>
      <x:c r="H58" s="12" t="str">
        <x:v>Virtual Hearing Squad</x:v>
      </x:c>
    </x:row>
    <x:row r="59">
      <x:c r="A59" s="12" t="str">
        <x:v>PB-058</x:v>
      </x:c>
      <x:c r="B59" s="12" t="str">
        <x:v>FR-VHC-016</x:v>
      </x:c>
      <x:c r="C59" s="12" t="str">
        <x:v>BR-008, BR-009, BR-015, BR-017</x:v>
      </x:c>
      <x:c r="D59" s="12" t="str">
        <x:v>VHC</x:v>
      </x:c>
      <x:c r="E59" s="12" t="str">
        <x:v>virtual_sessions, virtual_rooms, join_tokens</x:v>
      </x:c>
      <x:c r="F59" s="12" t="str">
        <x:v>UAT-01, UAT-07, UAT-13</x:v>
      </x:c>
      <x:c r="G59" s="12" t="str">
        <x:v>Sprint 7</x:v>
      </x:c>
      <x:c r="H59" s="12" t="str">
        <x:v>Virtual Hearing Squad</x:v>
      </x:c>
    </x:row>
    <x:row r="60">
      <x:c r="A60" s="12" t="str">
        <x:v>PB-059</x:v>
      </x:c>
      <x:c r="B60" s="12" t="str">
        <x:v>FR-VHC-017</x:v>
      </x:c>
      <x:c r="C60" s="12" t="str">
        <x:v>BR-008, BR-009, BR-015, BR-017</x:v>
      </x:c>
      <x:c r="D60" s="12" t="str">
        <x:v>VHC</x:v>
      </x:c>
      <x:c r="E60" s="12" t="str">
        <x:v>virtual_sessions, virtual_rooms, join_tokens</x:v>
      </x:c>
      <x:c r="F60" s="12" t="str">
        <x:v>UAT-01, UAT-07, UAT-13</x:v>
      </x:c>
      <x:c r="G60" s="12" t="str">
        <x:v>Sprint 7</x:v>
      </x:c>
      <x:c r="H60" s="12" t="str">
        <x:v>Virtual Hearing Squad</x:v>
      </x:c>
    </x:row>
    <x:row r="61">
      <x:c r="A61" s="12" t="str">
        <x:v>PB-060</x:v>
      </x:c>
      <x:c r="B61" s="12" t="str">
        <x:v>FR-VHC-018</x:v>
      </x:c>
      <x:c r="C61" s="12" t="str">
        <x:v>BR-008, BR-009, BR-015, BR-017</x:v>
      </x:c>
      <x:c r="D61" s="12" t="str">
        <x:v>VHC</x:v>
      </x:c>
      <x:c r="E61" s="12" t="str">
        <x:v>virtual_sessions, virtual_rooms, join_tokens</x:v>
      </x:c>
      <x:c r="F61" s="12" t="str">
        <x:v>UAT-01, UAT-07, UAT-13</x:v>
      </x:c>
      <x:c r="G61" s="12" t="str">
        <x:v>Sprint 7</x:v>
      </x:c>
      <x:c r="H61" s="12" t="str">
        <x:v>Virtual Hearing Squad</x:v>
      </x:c>
    </x:row>
    <x:row r="62">
      <x:c r="A62" s="12" t="str">
        <x:v>PB-061</x:v>
      </x:c>
      <x:c r="B62" s="12" t="str">
        <x:v>FR-OPS-001</x:v>
      </x:c>
      <x:c r="C62" s="12" t="str">
        <x:v>BR-017</x:v>
      </x:c>
      <x:c r="D62" s="12" t="str">
        <x:v>OPS</x:v>
      </x:c>
      <x:c r="E62" s="12" t="str">
        <x:v>hearing_events, attendance_events</x:v>
      </x:c>
      <x:c r="F62" s="12" t="str">
        <x:v>UAT-08</x:v>
      </x:c>
      <x:c r="G62" s="12" t="str">
        <x:v>Sprint 8</x:v>
      </x:c>
      <x:c r="H62" s="12" t="str">
        <x:v>Virtual Hearing Squad</x:v>
      </x:c>
    </x:row>
    <x:row r="63">
      <x:c r="A63" s="12" t="str">
        <x:v>PB-062</x:v>
      </x:c>
      <x:c r="B63" s="12" t="str">
        <x:v>FR-OPS-002</x:v>
      </x:c>
      <x:c r="C63" s="12" t="str">
        <x:v>BR-017</x:v>
      </x:c>
      <x:c r="D63" s="12" t="str">
        <x:v>OPS</x:v>
      </x:c>
      <x:c r="E63" s="12" t="str">
        <x:v>hearing_events, attendance_events</x:v>
      </x:c>
      <x:c r="F63" s="12" t="str">
        <x:v>UAT-08</x:v>
      </x:c>
      <x:c r="G63" s="12" t="str">
        <x:v>Sprint 8</x:v>
      </x:c>
      <x:c r="H63" s="12" t="str">
        <x:v>Virtual Hearing Squad</x:v>
      </x:c>
    </x:row>
    <x:row r="64">
      <x:c r="A64" s="12" t="str">
        <x:v>PB-063</x:v>
      </x:c>
      <x:c r="B64" s="12" t="str">
        <x:v>FR-OPS-003</x:v>
      </x:c>
      <x:c r="C64" s="12" t="str">
        <x:v>BR-017</x:v>
      </x:c>
      <x:c r="D64" s="12" t="str">
        <x:v>OPS</x:v>
      </x:c>
      <x:c r="E64" s="12" t="str">
        <x:v>hearing_events, attendance_events</x:v>
      </x:c>
      <x:c r="F64" s="12" t="str">
        <x:v>UAT-08</x:v>
      </x:c>
      <x:c r="G64" s="12" t="str">
        <x:v>Sprint 8</x:v>
      </x:c>
      <x:c r="H64" s="12" t="str">
        <x:v>Virtual Hearing Squad</x:v>
      </x:c>
    </x:row>
    <x:row r="65">
      <x:c r="A65" s="12" t="str">
        <x:v>PB-064</x:v>
      </x:c>
      <x:c r="B65" s="12" t="str">
        <x:v>FR-OPS-004</x:v>
      </x:c>
      <x:c r="C65" s="12" t="str">
        <x:v>BR-017</x:v>
      </x:c>
      <x:c r="D65" s="12" t="str">
        <x:v>OPS</x:v>
      </x:c>
      <x:c r="E65" s="12" t="str">
        <x:v>hearing_events, attendance_events</x:v>
      </x:c>
      <x:c r="F65" s="12" t="str">
        <x:v>UAT-08</x:v>
      </x:c>
      <x:c r="G65" s="12" t="str">
        <x:v>Sprint 8</x:v>
      </x:c>
      <x:c r="H65" s="12" t="str">
        <x:v>Virtual Hearing Squad</x:v>
      </x:c>
    </x:row>
    <x:row r="66">
      <x:c r="A66" s="12" t="str">
        <x:v>PB-065</x:v>
      </x:c>
      <x:c r="B66" s="12" t="str">
        <x:v>FR-INC-001</x:v>
      </x:c>
      <x:c r="C66" s="12" t="str">
        <x:v>BR-018, BR-019</x:v>
      </x:c>
      <x:c r="D66" s="12" t="str">
        <x:v>INC</x:v>
      </x:c>
      <x:c r="E66" s="12" t="str">
        <x:v>incidents and subtypes</x:v>
      </x:c>
      <x:c r="F66" s="12" t="str">
        <x:v>UAT-09 sampai UAT-11</x:v>
      </x:c>
      <x:c r="G66" s="12" t="str">
        <x:v>Sprint 9</x:v>
      </x:c>
      <x:c r="H66" s="12" t="str">
        <x:v>Security and SRE</x:v>
      </x:c>
    </x:row>
    <x:row r="67">
      <x:c r="A67" s="12" t="str">
        <x:v>PB-066</x:v>
      </x:c>
      <x:c r="B67" s="12" t="str">
        <x:v>FR-INC-002</x:v>
      </x:c>
      <x:c r="C67" s="12" t="str">
        <x:v>BR-018, BR-019</x:v>
      </x:c>
      <x:c r="D67" s="12" t="str">
        <x:v>INC</x:v>
      </x:c>
      <x:c r="E67" s="12" t="str">
        <x:v>incidents and subtypes</x:v>
      </x:c>
      <x:c r="F67" s="12" t="str">
        <x:v>UAT-09 sampai UAT-11</x:v>
      </x:c>
      <x:c r="G67" s="12" t="str">
        <x:v>Sprint 9</x:v>
      </x:c>
      <x:c r="H67" s="12" t="str">
        <x:v>Security and SRE</x:v>
      </x:c>
    </x:row>
    <x:row r="68">
      <x:c r="A68" s="12" t="str">
        <x:v>PB-067</x:v>
      </x:c>
      <x:c r="B68" s="12" t="str">
        <x:v>FR-INC-003</x:v>
      </x:c>
      <x:c r="C68" s="12" t="str">
        <x:v>BR-018, BR-019</x:v>
      </x:c>
      <x:c r="D68" s="12" t="str">
        <x:v>INC</x:v>
      </x:c>
      <x:c r="E68" s="12" t="str">
        <x:v>incidents and subtypes</x:v>
      </x:c>
      <x:c r="F68" s="12" t="str">
        <x:v>UAT-09 sampai UAT-11</x:v>
      </x:c>
      <x:c r="G68" s="12" t="str">
        <x:v>Sprint 9</x:v>
      </x:c>
      <x:c r="H68" s="12" t="str">
        <x:v>Security and SRE</x:v>
      </x:c>
    </x:row>
    <x:row r="69">
      <x:c r="A69" s="12" t="str">
        <x:v>PB-068</x:v>
      </x:c>
      <x:c r="B69" s="12" t="str">
        <x:v>FR-INC-004</x:v>
      </x:c>
      <x:c r="C69" s="12" t="str">
        <x:v>BR-018, BR-019</x:v>
      </x:c>
      <x:c r="D69" s="12" t="str">
        <x:v>INC</x:v>
      </x:c>
      <x:c r="E69" s="12" t="str">
        <x:v>incidents and subtypes</x:v>
      </x:c>
      <x:c r="F69" s="12" t="str">
        <x:v>UAT-09 sampai UAT-11</x:v>
      </x:c>
      <x:c r="G69" s="12" t="str">
        <x:v>Sprint 9</x:v>
      </x:c>
      <x:c r="H69" s="12" t="str">
        <x:v>Security and SRE</x:v>
      </x:c>
    </x:row>
    <x:row r="70">
      <x:c r="A70" s="12" t="str">
        <x:v>PB-069</x:v>
      </x:c>
      <x:c r="B70" s="12" t="str">
        <x:v>FR-INC-005</x:v>
      </x:c>
      <x:c r="C70" s="12" t="str">
        <x:v>BR-018, BR-019</x:v>
      </x:c>
      <x:c r="D70" s="12" t="str">
        <x:v>INC</x:v>
      </x:c>
      <x:c r="E70" s="12" t="str">
        <x:v>incidents and subtypes</x:v>
      </x:c>
      <x:c r="F70" s="12" t="str">
        <x:v>UAT-09 sampai UAT-11</x:v>
      </x:c>
      <x:c r="G70" s="12" t="str">
        <x:v>Sprint 9</x:v>
      </x:c>
      <x:c r="H70" s="12" t="str">
        <x:v>Security and SRE</x:v>
      </x:c>
    </x:row>
    <x:row r="71">
      <x:c r="A71" s="12" t="str">
        <x:v>PB-070</x:v>
      </x:c>
      <x:c r="B71" s="12" t="str">
        <x:v>FR-INC-006</x:v>
      </x:c>
      <x:c r="C71" s="12" t="str">
        <x:v>BR-018, BR-019</x:v>
      </x:c>
      <x:c r="D71" s="12" t="str">
        <x:v>INC</x:v>
      </x:c>
      <x:c r="E71" s="12" t="str">
        <x:v>incidents and subtypes</x:v>
      </x:c>
      <x:c r="F71" s="12" t="str">
        <x:v>UAT-09 sampai UAT-11</x:v>
      </x:c>
      <x:c r="G71" s="12" t="str">
        <x:v>Sprint 9</x:v>
      </x:c>
      <x:c r="H71" s="12" t="str">
        <x:v>Security and SRE</x:v>
      </x:c>
    </x:row>
    <x:row r="72">
      <x:c r="A72" s="12" t="str">
        <x:v>PB-071</x:v>
      </x:c>
      <x:c r="B72" s="12" t="str">
        <x:v>FR-APD-001</x:v>
      </x:c>
      <x:c r="C72" s="12" t="str">
        <x:v>BR-020</x:v>
      </x:c>
      <x:c r="D72" s="12" t="str">
        <x:v>APD</x:v>
      </x:c>
      <x:c r="E72" s="12" t="str">
        <x:v>appeal_decision_readings and official references</x:v>
      </x:c>
      <x:c r="F72" s="12" t="str">
        <x:v>UAT-12</x:v>
      </x:c>
      <x:c r="G72" s="12" t="str">
        <x:v>Sprint 10</x:v>
      </x:c>
      <x:c r="H72" s="12" t="str">
        <x:v>Workflow Squad</x:v>
      </x:c>
    </x:row>
    <x:row r="73">
      <x:c r="A73" s="12" t="str">
        <x:v>PB-072</x:v>
      </x:c>
      <x:c r="B73" s="12" t="str">
        <x:v>FR-APD-002</x:v>
      </x:c>
      <x:c r="C73" s="12" t="str">
        <x:v>BR-020</x:v>
      </x:c>
      <x:c r="D73" s="12" t="str">
        <x:v>APD</x:v>
      </x:c>
      <x:c r="E73" s="12" t="str">
        <x:v>appeal_decision_readings and official references</x:v>
      </x:c>
      <x:c r="F73" s="12" t="str">
        <x:v>UAT-12</x:v>
      </x:c>
      <x:c r="G73" s="12" t="str">
        <x:v>Sprint 10</x:v>
      </x:c>
      <x:c r="H73" s="12" t="str">
        <x:v>Workflow Squad</x:v>
      </x:c>
    </x:row>
    <x:row r="74">
      <x:c r="A74" s="12" t="str">
        <x:v>PB-073</x:v>
      </x:c>
      <x:c r="B74" s="12" t="str">
        <x:v>FR-APD-003</x:v>
      </x:c>
      <x:c r="C74" s="12" t="str">
        <x:v>BR-020</x:v>
      </x:c>
      <x:c r="D74" s="12" t="str">
        <x:v>APD</x:v>
      </x:c>
      <x:c r="E74" s="12" t="str">
        <x:v>appeal_decision_readings and official references</x:v>
      </x:c>
      <x:c r="F74" s="12" t="str">
        <x:v>UAT-12</x:v>
      </x:c>
      <x:c r="G74" s="12" t="str">
        <x:v>Sprint 10</x:v>
      </x:c>
      <x:c r="H74" s="12" t="str">
        <x:v>Workflow Squad</x:v>
      </x:c>
    </x:row>
    <x:row r="75">
      <x:c r="A75" s="12" t="str">
        <x:v>PB-074</x:v>
      </x:c>
      <x:c r="B75" s="12" t="str">
        <x:v>FR-APD-004</x:v>
      </x:c>
      <x:c r="C75" s="12" t="str">
        <x:v>BR-020</x:v>
      </x:c>
      <x:c r="D75" s="12" t="str">
        <x:v>APD</x:v>
      </x:c>
      <x:c r="E75" s="12" t="str">
        <x:v>appeal_decision_readings and official references</x:v>
      </x:c>
      <x:c r="F75" s="12" t="str">
        <x:v>UAT-12</x:v>
      </x:c>
      <x:c r="G75" s="12" t="str">
        <x:v>Sprint 10</x:v>
      </x:c>
      <x:c r="H75" s="12" t="str">
        <x:v>Workflow Squad</x:v>
      </x:c>
    </x:row>
    <x:row r="76">
      <x:c r="A76" s="12" t="str">
        <x:v>PB-075</x:v>
      </x:c>
      <x:c r="B76" s="12" t="str">
        <x:v>FR-APD-005</x:v>
      </x:c>
      <x:c r="C76" s="12" t="str">
        <x:v>BR-020</x:v>
      </x:c>
      <x:c r="D76" s="12" t="str">
        <x:v>APD</x:v>
      </x:c>
      <x:c r="E76" s="12" t="str">
        <x:v>appeal_decision_readings and official references</x:v>
      </x:c>
      <x:c r="F76" s="12" t="str">
        <x:v>UAT-12</x:v>
      </x:c>
      <x:c r="G76" s="12" t="str">
        <x:v>Sprint 10</x:v>
      </x:c>
      <x:c r="H76" s="12" t="str">
        <x:v>Workflow Squad</x:v>
      </x:c>
    </x:row>
    <x:row r="77">
      <x:c r="A77" s="12" t="str">
        <x:v>PB-076</x:v>
      </x:c>
      <x:c r="B77" s="12" t="str">
        <x:v>FR-APD-006</x:v>
      </x:c>
      <x:c r="C77" s="12" t="str">
        <x:v>BR-020</x:v>
      </x:c>
      <x:c r="D77" s="12" t="str">
        <x:v>APD</x:v>
      </x:c>
      <x:c r="E77" s="12" t="str">
        <x:v>appeal_decision_readings and official references</x:v>
      </x:c>
      <x:c r="F77" s="12" t="str">
        <x:v>UAT-12</x:v>
      </x:c>
      <x:c r="G77" s="12" t="str">
        <x:v>Sprint 10</x:v>
      </x:c>
      <x:c r="H77" s="12" t="str">
        <x:v>Workflow Squad</x:v>
      </x:c>
    </x:row>
    <x:row r="78">
      <x:c r="A78" s="12" t="str">
        <x:v>PB-077</x:v>
      </x:c>
      <x:c r="B78" s="12" t="str">
        <x:v>FR-REC-001</x:v>
      </x:c>
      <x:c r="C78" s="12" t="str">
        <x:v>TBD</x:v>
      </x:c>
      <x:c r="D78" s="12" t="str">
        <x:v>REC</x:v>
      </x:c>
      <x:c r="E78" s="12" t="str">
        <x:v>TBD</x:v>
      </x:c>
      <x:c r="F78" s="12" t="str">
        <x:v>TBD</x:v>
      </x:c>
      <x:c r="G78" s="12" t="str">
        <x:v>Sprint 12</x:v>
      </x:c>
      <x:c r="H78" s="12" t="str">
        <x:v>Delivery Team</x:v>
      </x:c>
    </x:row>
    <x:row r="79">
      <x:c r="A79" s="12" t="str">
        <x:v>PB-078</x:v>
      </x:c>
      <x:c r="B79" s="12" t="str">
        <x:v>FR-REC-002</x:v>
      </x:c>
      <x:c r="C79" s="12" t="str">
        <x:v>TBD</x:v>
      </x:c>
      <x:c r="D79" s="12" t="str">
        <x:v>REC</x:v>
      </x:c>
      <x:c r="E79" s="12" t="str">
        <x:v>TBD</x:v>
      </x:c>
      <x:c r="F79" s="12" t="str">
        <x:v>TBD</x:v>
      </x:c>
      <x:c r="G79" s="12" t="str">
        <x:v>Sprint 12</x:v>
      </x:c>
      <x:c r="H79" s="12" t="str">
        <x:v>Delivery Team</x:v>
      </x:c>
    </x:row>
    <x:row r="80">
      <x:c r="A80" s="12" t="str">
        <x:v>PB-079</x:v>
      </x:c>
      <x:c r="B80" s="12" t="str">
        <x:v>FR-AUD-001</x:v>
      </x:c>
      <x:c r="C80" s="12" t="str">
        <x:v>BR-021 sampai BR-024</x:v>
      </x:c>
      <x:c r="D80" s="12" t="str">
        <x:v>AUD</x:v>
      </x:c>
      <x:c r="E80" s="12" t="str">
        <x:v>audit_events, monitoring aggregates</x:v>
      </x:c>
      <x:c r="F80" s="12" t="str">
        <x:v>UAT-14</x:v>
      </x:c>
      <x:c r="G80" s="12" t="str">
        <x:v>Sprint 11</x:v>
      </x:c>
      <x:c r="H80" s="12" t="str">
        <x:v>Platform Squad</x:v>
      </x:c>
    </x:row>
    <x:row r="81">
      <x:c r="A81" s="12" t="str">
        <x:v>PB-080</x:v>
      </x:c>
      <x:c r="B81" s="12" t="str">
        <x:v>FR-AUD-002</x:v>
      </x:c>
      <x:c r="C81" s="12" t="str">
        <x:v>BR-021 sampai BR-024</x:v>
      </x:c>
      <x:c r="D81" s="12" t="str">
        <x:v>AUD</x:v>
      </x:c>
      <x:c r="E81" s="12" t="str">
        <x:v>audit_events, monitoring aggregates</x:v>
      </x:c>
      <x:c r="F81" s="12" t="str">
        <x:v>UAT-14</x:v>
      </x:c>
      <x:c r="G81" s="12" t="str">
        <x:v>Sprint 11</x:v>
      </x:c>
      <x:c r="H81" s="12" t="str">
        <x:v>Platform Squad</x:v>
      </x:c>
    </x:row>
    <x:row r="82">
      <x:c r="A82" s="12" t="str">
        <x:v>PB-081</x:v>
      </x:c>
      <x:c r="B82" s="12" t="str">
        <x:v>FR-MON-001</x:v>
      </x:c>
      <x:c r="C82" s="12" t="str">
        <x:v>BR-023, BR-024</x:v>
      </x:c>
      <x:c r="D82" s="12" t="str">
        <x:v>MON</x:v>
      </x:c>
      <x:c r="E82" s="12" t="str">
        <x:v>monitoring aggregates, audit_events</x:v>
      </x:c>
      <x:c r="F82" s="12" t="str">
        <x:v>UAT-01</x:v>
      </x:c>
      <x:c r="G82" s="12" t="str">
        <x:v>Sprint 11</x:v>
      </x:c>
      <x:c r="H82" s="12" t="str">
        <x:v>Data and Platform</x:v>
      </x:c>
    </x:row>
    <x:row r="83">
      <x:c r="A83" s="12" t="str">
        <x:v>PB-082</x:v>
      </x:c>
      <x:c r="B83" s="12" t="str">
        <x:v>FR-MON-002</x:v>
      </x:c>
      <x:c r="C83" s="12" t="str">
        <x:v>BR-023, BR-024</x:v>
      </x:c>
      <x:c r="D83" s="12" t="str">
        <x:v>MON</x:v>
      </x:c>
      <x:c r="E83" s="12" t="str">
        <x:v>monitoring aggregates, audit_events</x:v>
      </x:c>
      <x:c r="F83" s="12" t="str">
        <x:v>UAT-01</x:v>
      </x:c>
      <x:c r="G83" s="12" t="str">
        <x:v>Sprint 11</x:v>
      </x:c>
      <x:c r="H83" s="12" t="str">
        <x:v>Data and Platform</x:v>
      </x:c>
    </x:row>
  </x:sheetData>
  <x:pageMargins left="0.7" right="0.7" top="0.75" bottom="0.75" header="0.3" footer="0.3"/>
  <x:tableParts count="1">
    <x:tablePart xmlns:r="http://schemas.openxmlformats.org/officeDocument/2006/relationships" r:id="R645e056c7b624c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6" t="str">
        <x:v>Permission Code</x:v>
      </x:c>
      <x:c r="B1" s="6" t="str">
        <x:v>Action</x:v>
      </x:c>
      <x:c r="C1" s="6" t="str">
        <x:v>Scope Rule</x:v>
      </x:c>
      <x:c r="D1" s="6" t="str">
        <x:v>Judge</x:v>
      </x:c>
      <x:c r="E1" s="6" t="str">
        <x:v>Court Clerk</x:v>
      </x:c>
      <x:c r="F1" s="6" t="str">
        <x:v>Prosecutor</x:v>
      </x:c>
      <x:c r="G1" s="6" t="str">
        <x:v>Corrections</x:v>
      </x:c>
      <x:c r="H1" s="6" t="str">
        <x:v>Advocate</x:v>
      </x:c>
      <x:c r="I1" s="6" t="str">
        <x:v>Witness or Expert</x:v>
      </x:c>
      <x:c r="J1" s="6" t="str">
        <x:v>Liaison</x:v>
      </x:c>
      <x:c r="K1" s="6" t="str">
        <x:v>IT Operator</x:v>
      </x:c>
      <x:c r="L1" s="6" t="str">
        <x:v>Security</x:v>
      </x:c>
      <x:c r="M1" s="6" t="str">
        <x:v>System Admin</x:v>
      </x:c>
    </x:row>
    <x:row r="2">
      <x:c r="A2" s="12" t="str">
        <x:v>DET.REQUEST</x:v>
      </x:c>
      <x:c r="B2" s="12" t="str">
        <x:v>Create electronic hearing request</x:v>
      </x:c>
      <x:c r="C2" s="12" t="str">
        <x:v>Assigned case</x:v>
      </x:c>
      <x:c r="D2" s="12" t="str">
        <x:v>Conditional</x:v>
      </x:c>
      <x:c r="E2" s="12" t="str">
        <x:v>Allow</x:v>
      </x:c>
      <x:c r="F2" s="12" t="str">
        <x:v>Allow</x:v>
      </x:c>
      <x:c r="G2" s="12" t="str">
        <x:v>Deny</x:v>
      </x:c>
      <x:c r="H2" s="12" t="str">
        <x:v>Conditional</x:v>
      </x:c>
      <x:c r="I2" s="12" t="str">
        <x:v>Deny</x:v>
      </x:c>
      <x:c r="J2" s="12" t="str">
        <x:v>Deny</x:v>
      </x:c>
      <x:c r="K2" s="12" t="str">
        <x:v>Deny</x:v>
      </x:c>
      <x:c r="L2" s="12" t="str">
        <x:v>Deny</x:v>
      </x:c>
      <x:c r="M2" s="12" t="str">
        <x:v>Deny</x:v>
      </x:c>
    </x:row>
    <x:row r="3">
      <x:c r="A3" s="12" t="str">
        <x:v>DET.WRITE</x:v>
      </x:c>
      <x:c r="B3" s="12" t="str">
        <x:v>Record judicial determination reference</x:v>
      </x:c>
      <x:c r="C3" s="12" t="str">
        <x:v>Assigned hearing and judge authority</x:v>
      </x:c>
      <x:c r="D3" s="12" t="str">
        <x:v>Allow</x:v>
      </x:c>
      <x:c r="E3" s="12" t="str">
        <x:v>Conditional</x:v>
      </x:c>
      <x:c r="F3" s="12" t="str">
        <x:v>Deny</x:v>
      </x:c>
      <x:c r="G3" s="12" t="str">
        <x:v>Deny</x:v>
      </x:c>
      <x:c r="H3" s="12" t="str">
        <x:v>Deny</x:v>
      </x:c>
      <x:c r="I3" s="12" t="str">
        <x:v>Deny</x:v>
      </x:c>
      <x:c r="J3" s="12" t="str">
        <x:v>Deny</x:v>
      </x:c>
      <x:c r="K3" s="12" t="str">
        <x:v>Deny</x:v>
      </x:c>
      <x:c r="L3" s="12" t="str">
        <x:v>Deny</x:v>
      </x:c>
      <x:c r="M3" s="12" t="str">
        <x:v>Deny</x:v>
      </x:c>
    </x:row>
    <x:row r="4">
      <x:c r="A4" s="12" t="str">
        <x:v>SCH.PROPOSE</x:v>
      </x:c>
      <x:c r="B4" s="12" t="str">
        <x:v>Create schedule proposal</x:v>
      </x:c>
      <x:c r="C4" s="12" t="str">
        <x:v>Assigned hearing</x:v>
      </x:c>
      <x:c r="D4" s="12" t="str">
        <x:v>Conditional</x:v>
      </x:c>
      <x:c r="E4" s="12" t="str">
        <x:v>Allow</x:v>
      </x:c>
      <x:c r="F4" s="12" t="str">
        <x:v>Conditional</x:v>
      </x:c>
      <x:c r="G4" s="12" t="str">
        <x:v>Conditional</x:v>
      </x:c>
      <x:c r="H4" s="12" t="str">
        <x:v>Deny</x:v>
      </x:c>
      <x:c r="I4" s="12" t="str">
        <x:v>Deny</x:v>
      </x:c>
      <x:c r="J4" s="12" t="str">
        <x:v>Conditional</x:v>
      </x:c>
      <x:c r="K4" s="12" t="str">
        <x:v>Deny</x:v>
      </x:c>
      <x:c r="L4" s="12" t="str">
        <x:v>Deny</x:v>
      </x:c>
      <x:c r="M4" s="12" t="str">
        <x:v>Deny</x:v>
      </x:c>
    </x:row>
    <x:row r="5">
      <x:c r="A5" s="12" t="str">
        <x:v>SCH.APPROVE</x:v>
      </x:c>
      <x:c r="B5" s="12" t="str">
        <x:v>Approve or reschedule</x:v>
      </x:c>
      <x:c r="C5" s="12" t="str">
        <x:v>Formal authority</x:v>
      </x:c>
      <x:c r="D5" s="12" t="str">
        <x:v>Allow</x:v>
      </x:c>
      <x:c r="E5" s="12" t="str">
        <x:v>Conditional</x:v>
      </x:c>
      <x:c r="F5" s="12" t="str">
        <x:v>Deny</x:v>
      </x:c>
      <x:c r="G5" s="12" t="str">
        <x:v>Deny</x:v>
      </x:c>
      <x:c r="H5" s="12" t="str">
        <x:v>Deny</x:v>
      </x:c>
      <x:c r="I5" s="12" t="str">
        <x:v>Deny</x:v>
      </x:c>
      <x:c r="J5" s="12" t="str">
        <x:v>Deny</x:v>
      </x:c>
      <x:c r="K5" s="12" t="str">
        <x:v>Deny</x:v>
      </x:c>
      <x:c r="L5" s="12" t="str">
        <x:v>Deny</x:v>
      </x:c>
      <x:c r="M5" s="12" t="str">
        <x:v>Deny</x:v>
      </x:c>
    </x:row>
    <x:row r="6">
      <x:c r="A6" s="12" t="str">
        <x:v>NTC.CREATE</x:v>
      </x:c>
      <x:c r="B6" s="12" t="str">
        <x:v>Create official notice</x:v>
      </x:c>
      <x:c r="C6" s="12" t="str">
        <x:v>Sender organization and assigned hearing</x:v>
      </x:c>
      <x:c r="D6" s="12" t="str">
        <x:v>Conditional</x:v>
      </x:c>
      <x:c r="E6" s="12" t="str">
        <x:v>Allow</x:v>
      </x:c>
      <x:c r="F6" s="12" t="str">
        <x:v>Allow</x:v>
      </x:c>
      <x:c r="G6" s="12" t="str">
        <x:v>Conditional</x:v>
      </x:c>
      <x:c r="H6" s="12" t="str">
        <x:v>Deny</x:v>
      </x:c>
      <x:c r="I6" s="12" t="str">
        <x:v>Deny</x:v>
      </x:c>
      <x:c r="J6" s="12" t="str">
        <x:v>Conditional</x:v>
      </x:c>
      <x:c r="K6" s="12" t="str">
        <x:v>Deny</x:v>
      </x:c>
      <x:c r="L6" s="12" t="str">
        <x:v>Deny</x:v>
      </x:c>
      <x:c r="M6" s="12" t="str">
        <x:v>Deny</x:v>
      </x:c>
    </x:row>
    <x:row r="7">
      <x:c r="A7" s="12" t="str">
        <x:v>NTC.ACK</x:v>
      </x:c>
      <x:c r="B7" s="12" t="str">
        <x:v>Acknowledge notice</x:v>
      </x:c>
      <x:c r="C7" s="12" t="str">
        <x:v>Intended recipient</x:v>
      </x:c>
      <x:c r="D7" s="12" t="str">
        <x:v>Conditional</x:v>
      </x:c>
      <x:c r="E7" s="12" t="str">
        <x:v>Allow</x:v>
      </x:c>
      <x:c r="F7" s="12" t="str">
        <x:v>Allow</x:v>
      </x:c>
      <x:c r="G7" s="12" t="str">
        <x:v>Allow</x:v>
      </x:c>
      <x:c r="H7" s="12" t="str">
        <x:v>Allow</x:v>
      </x:c>
      <x:c r="I7" s="12" t="str">
        <x:v>Conditional</x:v>
      </x:c>
      <x:c r="J7" s="12" t="str">
        <x:v>Allow</x:v>
      </x:c>
      <x:c r="K7" s="12" t="str">
        <x:v>Deny</x:v>
      </x:c>
      <x:c r="L7" s="12" t="str">
        <x:v>Deny</x:v>
      </x:c>
      <x:c r="M7" s="12" t="str">
        <x:v>Deny</x:v>
      </x:c>
    </x:row>
    <x:row r="8">
      <x:c r="A8" s="12" t="str">
        <x:v>RDY.WRITE</x:v>
      </x:c>
      <x:c r="B8" s="12" t="str">
        <x:v>Submit readiness and technical test</x:v>
      </x:c>
      <x:c r="C8" s="12" t="str">
        <x:v>Assigned organization and location</x:v>
      </x:c>
      <x:c r="D8" s="12" t="str">
        <x:v>Deny</x:v>
      </x:c>
      <x:c r="E8" s="12" t="str">
        <x:v>Conditional</x:v>
      </x:c>
      <x:c r="F8" s="12" t="str">
        <x:v>Conditional</x:v>
      </x:c>
      <x:c r="G8" s="12" t="str">
        <x:v>Allow</x:v>
      </x:c>
      <x:c r="H8" s="12" t="str">
        <x:v>Deny</x:v>
      </x:c>
      <x:c r="I8" s="12" t="str">
        <x:v>Deny</x:v>
      </x:c>
      <x:c r="J8" s="12" t="str">
        <x:v>Conditional</x:v>
      </x:c>
      <x:c r="K8" s="12" t="str">
        <x:v>Allow</x:v>
      </x:c>
      <x:c r="L8" s="12" t="str">
        <x:v>Deny</x:v>
      </x:c>
      <x:c r="M8" s="12" t="str">
        <x:v>Deny</x:v>
      </x:c>
    </x:row>
    <x:row r="9">
      <x:c r="A9" s="12" t="str">
        <x:v>VER.WRITE</x:v>
      </x:c>
      <x:c r="B9" s="12" t="str">
        <x:v>Record identity and room verification</x:v>
      </x:c>
      <x:c r="C9" s="12" t="str">
        <x:v>Assigned participant and location</x:v>
      </x:c>
      <x:c r="D9" s="12" t="str">
        <x:v>Deny</x:v>
      </x:c>
      <x:c r="E9" s="12" t="str">
        <x:v>Conditional</x:v>
      </x:c>
      <x:c r="F9" s="12" t="str">
        <x:v>Conditional</x:v>
      </x:c>
      <x:c r="G9" s="12" t="str">
        <x:v>Allow</x:v>
      </x:c>
      <x:c r="H9" s="12" t="str">
        <x:v>Deny</x:v>
      </x:c>
      <x:c r="I9" s="12" t="str">
        <x:v>Deny</x:v>
      </x:c>
      <x:c r="J9" s="12" t="str">
        <x:v>Conditional</x:v>
      </x:c>
      <x:c r="K9" s="12" t="str">
        <x:v>Deny</x:v>
      </x:c>
      <x:c r="L9" s="12" t="str">
        <x:v>Deny</x:v>
      </x:c>
      <x:c r="M9" s="12" t="str">
        <x:v>Deny</x:v>
      </x:c>
    </x:row>
    <x:row r="10">
      <x:c r="A10" s="12" t="str">
        <x:v>VHC.PROVISION</x:v>
      </x:c>
      <x:c r="B10" s="12" t="str">
        <x:v>Provision provider session</x:v>
      </x:c>
      <x:c r="C10" s="12" t="str">
        <x:v>Valid gate and assigned support</x:v>
      </x:c>
      <x:c r="D10" s="12" t="str">
        <x:v>Conditional</x:v>
      </x:c>
      <x:c r="E10" s="12" t="str">
        <x:v>Conditional</x:v>
      </x:c>
      <x:c r="F10" s="12" t="str">
        <x:v>Deny</x:v>
      </x:c>
      <x:c r="G10" s="12" t="str">
        <x:v>Deny</x:v>
      </x:c>
      <x:c r="H10" s="12" t="str">
        <x:v>Deny</x:v>
      </x:c>
      <x:c r="I10" s="12" t="str">
        <x:v>Deny</x:v>
      </x:c>
      <x:c r="J10" s="12" t="str">
        <x:v>Deny</x:v>
      </x:c>
      <x:c r="K10" s="12" t="str">
        <x:v>Allow</x:v>
      </x:c>
      <x:c r="L10" s="12" t="str">
        <x:v>Deny</x:v>
      </x:c>
      <x:c r="M10" s="12" t="str">
        <x:v>Deny</x:v>
      </x:c>
    </x:row>
    <x:row r="11">
      <x:c r="A11" s="12" t="str">
        <x:v>VHC.TOKEN</x:v>
      </x:c>
      <x:c r="B11" s="12" t="str">
        <x:v>Issue participant token</x:v>
      </x:c>
      <x:c r="C11" s="12" t="str">
        <x:v>Assigned hearing and role</x:v>
      </x:c>
      <x:c r="D11" s="12" t="str">
        <x:v>Conditional</x:v>
      </x:c>
      <x:c r="E11" s="12" t="str">
        <x:v>Allow</x:v>
      </x:c>
      <x:c r="F11" s="12" t="str">
        <x:v>Deny</x:v>
      </x:c>
      <x:c r="G11" s="12" t="str">
        <x:v>Deny</x:v>
      </x:c>
      <x:c r="H11" s="12" t="str">
        <x:v>Deny</x:v>
      </x:c>
      <x:c r="I11" s="12" t="str">
        <x:v>Deny</x:v>
      </x:c>
      <x:c r="J11" s="12" t="str">
        <x:v>Deny</x:v>
      </x:c>
      <x:c r="K11" s="12" t="str">
        <x:v>Conditional</x:v>
      </x:c>
      <x:c r="L11" s="12" t="str">
        <x:v>Deny</x:v>
      </x:c>
      <x:c r="M11" s="12" t="str">
        <x:v>Deny</x:v>
      </x:c>
    </x:row>
    <x:row r="12">
      <x:c r="A12" s="12" t="str">
        <x:v>HEARING.START</x:v>
      </x:c>
      <x:c r="B12" s="12" t="str">
        <x:v>Start hearing</x:v>
      </x:c>
      <x:c r="C12" s="12" t="str">
        <x:v>Assigned judge</x:v>
      </x:c>
      <x:c r="D12" s="12" t="str">
        <x:v>Allow</x:v>
      </x:c>
      <x:c r="E12" s="12" t="str">
        <x:v>Deny</x:v>
      </x:c>
      <x:c r="F12" s="12" t="str">
        <x:v>Deny</x:v>
      </x:c>
      <x:c r="G12" s="12" t="str">
        <x:v>Deny</x:v>
      </x:c>
      <x:c r="H12" s="12" t="str">
        <x:v>Deny</x:v>
      </x:c>
      <x:c r="I12" s="12" t="str">
        <x:v>Deny</x:v>
      </x:c>
      <x:c r="J12" s="12" t="str">
        <x:v>Deny</x:v>
      </x:c>
      <x:c r="K12" s="12" t="str">
        <x:v>Deny</x:v>
      </x:c>
      <x:c r="L12" s="12" t="str">
        <x:v>Deny</x:v>
      </x:c>
      <x:c r="M12" s="12" t="str">
        <x:v>Deny</x:v>
      </x:c>
    </x:row>
    <x:row r="13">
      <x:c r="A13" s="12" t="str">
        <x:v>HEARING.SUSPEND</x:v>
      </x:c>
      <x:c r="B13" s="12" t="str">
        <x:v>Suspend or resume hearing</x:v>
      </x:c>
      <x:c r="C13" s="12" t="str">
        <x:v>Assigned judge</x:v>
      </x:c>
      <x:c r="D13" s="12" t="str">
        <x:v>Allow</x:v>
      </x:c>
      <x:c r="E13" s="12" t="str">
        <x:v>Deny</x:v>
      </x:c>
      <x:c r="F13" s="12" t="str">
        <x:v>Deny</x:v>
      </x:c>
      <x:c r="G13" s="12" t="str">
        <x:v>Deny</x:v>
      </x:c>
      <x:c r="H13" s="12" t="str">
        <x:v>Deny</x:v>
      </x:c>
      <x:c r="I13" s="12" t="str">
        <x:v>Deny</x:v>
      </x:c>
      <x:c r="J13" s="12" t="str">
        <x:v>Deny</x:v>
      </x:c>
      <x:c r="K13" s="12" t="str">
        <x:v>Deny</x:v>
      </x:c>
      <x:c r="L13" s="12" t="str">
        <x:v>Deny</x:v>
      </x:c>
      <x:c r="M13" s="12" t="str">
        <x:v>Deny</x:v>
      </x:c>
    </x:row>
    <x:row r="14">
      <x:c r="A14" s="12" t="str">
        <x:v>HEARING.END</x:v>
      </x:c>
      <x:c r="B14" s="12" t="str">
        <x:v>End hearing</x:v>
      </x:c>
      <x:c r="C14" s="12" t="str">
        <x:v>Assigned judge</x:v>
      </x:c>
      <x:c r="D14" s="12" t="str">
        <x:v>Allow</x:v>
      </x:c>
      <x:c r="E14" s="12" t="str">
        <x:v>Deny</x:v>
      </x:c>
      <x:c r="F14" s="12" t="str">
        <x:v>Deny</x:v>
      </x:c>
      <x:c r="G14" s="12" t="str">
        <x:v>Deny</x:v>
      </x:c>
      <x:c r="H14" s="12" t="str">
        <x:v>Deny</x:v>
      </x:c>
      <x:c r="I14" s="12" t="str">
        <x:v>Deny</x:v>
      </x:c>
      <x:c r="J14" s="12" t="str">
        <x:v>Deny</x:v>
      </x:c>
      <x:c r="K14" s="12" t="str">
        <x:v>Deny</x:v>
      </x:c>
      <x:c r="L14" s="12" t="str">
        <x:v>Deny</x:v>
      </x:c>
      <x:c r="M14" s="12" t="str">
        <x:v>Deny</x:v>
      </x:c>
    </x:row>
    <x:row r="15">
      <x:c r="A15" s="12" t="str">
        <x:v>INC.TECH</x:v>
      </x:c>
      <x:c r="B15" s="12" t="str">
        <x:v>Manage technical incident</x:v>
      </x:c>
      <x:c r="C15" s="12" t="str">
        <x:v>Assigned hearing or support scope</x:v>
      </x:c>
      <x:c r="D15" s="12" t="str">
        <x:v>Conditional</x:v>
      </x:c>
      <x:c r="E15" s="12" t="str">
        <x:v>Conditional</x:v>
      </x:c>
      <x:c r="F15" s="12" t="str">
        <x:v>Conditional</x:v>
      </x:c>
      <x:c r="G15" s="12" t="str">
        <x:v>Conditional</x:v>
      </x:c>
      <x:c r="H15" s="12" t="str">
        <x:v>Deny</x:v>
      </x:c>
      <x:c r="I15" s="12" t="str">
        <x:v>Deny</x:v>
      </x:c>
      <x:c r="J15" s="12" t="str">
        <x:v>Conditional</x:v>
      </x:c>
      <x:c r="K15" s="12" t="str">
        <x:v>Allow</x:v>
      </x:c>
      <x:c r="L15" s="12" t="str">
        <x:v>Conditional</x:v>
      </x:c>
      <x:c r="M15" s="12" t="str">
        <x:v>Deny</x:v>
      </x:c>
    </x:row>
    <x:row r="16">
      <x:c r="A16" s="12" t="str">
        <x:v>INC.CYBER</x:v>
      </x:c>
      <x:c r="B16" s="12" t="str">
        <x:v>Manage cyber incident</x:v>
      </x:c>
      <x:c r="C16" s="12" t="str">
        <x:v>Security scope</x:v>
      </x:c>
      <x:c r="D16" s="12" t="str">
        <x:v>Deny</x:v>
      </x:c>
      <x:c r="E16" s="12" t="str">
        <x:v>Deny</x:v>
      </x:c>
      <x:c r="F16" s="12" t="str">
        <x:v>Deny</x:v>
      </x:c>
      <x:c r="G16" s="12" t="str">
        <x:v>Deny</x:v>
      </x:c>
      <x:c r="H16" s="12" t="str">
        <x:v>Deny</x:v>
      </x:c>
      <x:c r="I16" s="12" t="str">
        <x:v>Deny</x:v>
      </x:c>
      <x:c r="J16" s="12" t="str">
        <x:v>Conditional</x:v>
      </x:c>
      <x:c r="K16" s="12" t="str">
        <x:v>Conditional</x:v>
      </x:c>
      <x:c r="L16" s="12" t="str">
        <x:v>Allow</x:v>
      </x:c>
      <x:c r="M16" s="12" t="str">
        <x:v>Conditional</x:v>
      </x:c>
    </x:row>
    <x:row r="17">
      <x:c r="A17" s="12" t="str">
        <x:v>AUD.READ</x:v>
      </x:c>
      <x:c r="B17" s="12" t="str">
        <x:v>Read audit evidence</x:v>
      </x:c>
      <x:c r="C17" s="12" t="str">
        <x:v>Need-to-know and case scope</x:v>
      </x:c>
      <x:c r="D17" s="12" t="str">
        <x:v>Conditional</x:v>
      </x:c>
      <x:c r="E17" s="12" t="str">
        <x:v>Conditional</x:v>
      </x:c>
      <x:c r="F17" s="12" t="str">
        <x:v>Conditional</x:v>
      </x:c>
      <x:c r="G17" s="12" t="str">
        <x:v>Conditional</x:v>
      </x:c>
      <x:c r="H17" s="12" t="str">
        <x:v>Deny</x:v>
      </x:c>
      <x:c r="I17" s="12" t="str">
        <x:v>Deny</x:v>
      </x:c>
      <x:c r="J17" s="12" t="str">
        <x:v>Conditional</x:v>
      </x:c>
      <x:c r="K17" s="12" t="str">
        <x:v>Conditional</x:v>
      </x:c>
      <x:c r="L17" s="12" t="str">
        <x:v>Allow</x:v>
      </x:c>
      <x:c r="M17" s="12" t="str">
        <x:v>Conditional</x:v>
      </x:c>
    </x:row>
    <x:row r="18">
      <x:c r="A18" s="12" t="str">
        <x:v>ADMIN.USER</x:v>
      </x:c>
      <x:c r="B18" s="12" t="str">
        <x:v>Manage user and role lifecycle</x:v>
      </x:c>
      <x:c r="C18" s="12" t="str">
        <x:v>Organization administration only</x:v>
      </x:c>
      <x:c r="D18" s="12" t="str">
        <x:v>Deny</x:v>
      </x:c>
      <x:c r="E18" s="12" t="str">
        <x:v>Deny</x:v>
      </x:c>
      <x:c r="F18" s="12" t="str">
        <x:v>Deny</x:v>
      </x:c>
      <x:c r="G18" s="12" t="str">
        <x:v>Deny</x:v>
      </x:c>
      <x:c r="H18" s="12" t="str">
        <x:v>Deny</x:v>
      </x:c>
      <x:c r="I18" s="12" t="str">
        <x:v>Deny</x:v>
      </x:c>
      <x:c r="J18" s="12" t="str">
        <x:v>Deny</x:v>
      </x:c>
      <x:c r="K18" s="12" t="str">
        <x:v>Deny</x:v>
      </x:c>
      <x:c r="L18" s="12" t="str">
        <x:v>Conditional</x:v>
      </x:c>
      <x:c r="M18" s="12" t="str">
        <x:v>Allow</x:v>
      </x:c>
    </x:row>
  </x:sheetData>
  <x:conditionalFormatting sqref="D2:M18">
    <x:cfRule type="expression" dxfId="2" priority="1">
      <x:formula>D2="Allow"</x:formula>
    </x:cfRule>
    <x:cfRule type="expression" dxfId="3" priority="2">
      <x:formula>D2="Conditional"</x:formula>
    </x:cfRule>
    <x:cfRule type="expression" dxfId="4" priority="3">
      <x:formula>D2="Deny"</x:formula>
    </x:cfRule>
  </x:conditionalFormatting>
  <x:dataValidations count="1">
    <x:dataValidation type="list" sqref="D2:M18">
      <x:formula1>"Allow,Conditional,Deny"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42" hidden="0" customWidth="1"/>
    <x:col min="5" max="5" width="42" hidden="0" customWidth="1"/>
    <x:col min="6" max="6" width="22" hidden="0" customWidth="1"/>
    <x:col min="7" max="7" width="28" hidden="0" customWidth="1"/>
    <x:col min="8" max="8" width="14" hidden="0" customWidth="1"/>
  </x:cols>
  <x:sheetData>
    <x:row r="1">
      <x:c r="A1" s="6" t="str">
        <x:v>UAT ID</x:v>
      </x:c>
      <x:c r="B1" s="6" t="str">
        <x:v>Scenario</x:v>
      </x:c>
      <x:c r="C1" s="6" t="str">
        <x:v>Precondition</x:v>
      </x:c>
      <x:c r="D1" s="6" t="str">
        <x:v>Main Steps</x:v>
      </x:c>
      <x:c r="E1" s="6" t="str">
        <x:v>Expected Result</x:v>
      </x:c>
      <x:c r="F1" s="6" t="str">
        <x:v>Primary Owner</x:v>
      </x:c>
      <x:c r="G1" s="6" t="str">
        <x:v>Evidence</x:v>
      </x:c>
      <x:c r="H1" s="6" t="str">
        <x:v>Status</x:v>
      </x:c>
    </x:row>
    <x:row r="2">
      <x:c r="A2" s="12" t="str">
        <x:v>UAT-01</x:v>
      </x:c>
      <x:c r="B2" s="12" t="str">
        <x:v>Alur normal</x:v>
      </x:c>
      <x:c r="C2" s="12" t="str">
        <x:v>Determination sah dan semua assignment tersedia</x:v>
      </x:c>
      <x:c r="D2" s="12" t="str">
        <x:v>Schedule, notice, ack, readiness, provision, start, complete, close</x:v>
      </x:c>
      <x:c r="E2" s="12" t="str">
        <x:v>Seluruh gate lulus dan audit lengkap</x:v>
      </x:c>
      <x:c r="F2" s="12" t="str">
        <x:v>Pengadilan</x:v>
      </x:c>
      <x:c r="G2" s="12" t="str">
        <x:v>Audit export and screenshots</x:v>
      </x:c>
      <x:c r="H2" s="12" t="str">
        <x:v>Not Started</x:v>
      </x:c>
    </x:row>
    <x:row r="3">
      <x:c r="A3" s="12" t="str">
        <x:v>UAT-02</x:v>
      </x:c>
      <x:c r="B3" s="12" t="str">
        <x:v>Tanpa determination</x:v>
      </x:c>
      <x:c r="C3" s="12" t="str">
        <x:v>Hearing belum mempunyai determination</x:v>
      </x:c>
      <x:c r="D3" s="12" t="str">
        <x:v>Coba approve schedule dan provision session</x:v>
      </x:c>
      <x:c r="E3" s="12" t="str">
        <x:v>409 DETERMINATION_REQUIRED</x:v>
      </x:c>
      <x:c r="F3" s="12" t="str">
        <x:v>Pengadilan</x:v>
      </x:c>
      <x:c r="G3" s="12" t="str">
        <x:v>API and audit evidence</x:v>
      </x:c>
      <x:c r="H3" s="12" t="str">
        <x:v>Not Started</x:v>
      </x:c>
    </x:row>
    <x:row r="4">
      <x:c r="A4" s="12" t="str">
        <x:v>UAT-03</x:v>
      </x:c>
      <x:c r="B4" s="12" t="str">
        <x:v>Bentrok jadwal</x:v>
      </x:c>
      <x:c r="C4" s="12" t="str">
        <x:v>Hakim atau ruang overlap</x:v>
      </x:c>
      <x:c r="D4" s="12" t="str">
        <x:v>Buat proposal dan jalankan conflict check</x:v>
      </x:c>
      <x:c r="E4" s="12" t="str">
        <x:v>Required conflict tampil dan ACTIVE ditolak</x:v>
      </x:c>
      <x:c r="F4" s="12" t="str">
        <x:v>Pengadilan</x:v>
      </x:c>
      <x:c r="G4" s="12" t="str">
        <x:v>Conflict result</x:v>
      </x:c>
      <x:c r="H4" s="12" t="str">
        <x:v>Not Started</x:v>
      </x:c>
    </x:row>
    <x:row r="5">
      <x:c r="A5" s="12" t="str">
        <x:v>UAT-04</x:v>
      </x:c>
      <x:c r="B5" s="12" t="str">
        <x:v>Perubahan jadwal</x:v>
      </x:c>
      <x:c r="C5" s="12" t="str">
        <x:v>Schedule ACTIVE tersedia</x:v>
      </x:c>
      <x:c r="D5" s="12" t="str">
        <x:v>Reschedule dengan alasan dan basis reference</x:v>
      </x:c>
      <x:c r="E5" s="12" t="str">
        <x:v>Versi baru, token lama revoked, notice ulang</x:v>
      </x:c>
      <x:c r="F5" s="12" t="str">
        <x:v>Pengadilan</x:v>
      </x:c>
      <x:c r="G5" s="12" t="str">
        <x:v>Version and token audit</x:v>
      </x:c>
      <x:c r="H5" s="12" t="str">
        <x:v>Not Started</x:v>
      </x:c>
    </x:row>
    <x:row r="6">
      <x:c r="A6" s="12" t="str">
        <x:v>UAT-05</x:v>
      </x:c>
      <x:c r="B6" s="12" t="str">
        <x:v>Notice gagal</x:v>
      </x:c>
      <x:c r="C6" s="12" t="str">
        <x:v>Gateway test mengembalikan failed</x:v>
      </x:c>
      <x:c r="D6" s="12" t="str">
        <x:v>Kirim notice</x:v>
      </x:c>
      <x:c r="E6" s="12" t="str">
        <x:v>Retry, fallback, escalation, proof tersimpan</x:v>
      </x:c>
      <x:c r="F6" s="12" t="str">
        <x:v>Kejaksaan</x:v>
      </x:c>
      <x:c r="G6" s="12" t="str">
        <x:v>Delivery attempts</x:v>
      </x:c>
      <x:c r="H6" s="12" t="str">
        <x:v>Not Started</x:v>
      </x:c>
    </x:row>
    <x:row r="7">
      <x:c r="A7" s="12" t="str">
        <x:v>UAT-06</x:v>
      </x:c>
      <x:c r="B7" s="12" t="str">
        <x:v>Readiness tidak lengkap</x:v>
      </x:c>
      <x:c r="C7" s="12" t="str">
        <x:v>Item wajib gagal</x:v>
      </x:c>
      <x:c r="D7" s="12" t="str">
        <x:v>Submit readiness</x:v>
      </x:c>
      <x:c r="E7" s="12" t="str">
        <x:v>READY ditolak</x:v>
      </x:c>
      <x:c r="F7" s="12" t="str">
        <x:v>Pemasyarakatan</x:v>
      </x:c>
      <x:c r="G7" s="12" t="str">
        <x:v>Readiness result</x:v>
      </x:c>
      <x:c r="H7" s="12" t="str">
        <x:v>Not Started</x:v>
      </x:c>
    </x:row>
    <x:row r="8">
      <x:c r="A8" s="12" t="str">
        <x:v>UAT-07</x:v>
      </x:c>
      <x:c r="B8" s="12" t="str">
        <x:v>Konsultasi privat</x:v>
      </x:c>
      <x:c r="C8" s="12" t="str">
        <x:v>Advokat dan terdakwa hadir</x:v>
      </x:c>
      <x:c r="D8" s="12" t="str">
        <x:v>Judge mengizinkan consultation room</x:v>
      </x:c>
      <x:c r="E8" s="12" t="str">
        <x:v>No-record dan isolated</x:v>
      </x:c>
      <x:c r="F8" s="12" t="str">
        <x:v>Pengadilan</x:v>
      </x:c>
      <x:c r="G8" s="12" t="str">
        <x:v>Provider policy evidence</x:v>
      </x:c>
      <x:c r="H8" s="12" t="str">
        <x:v>Not Started</x:v>
      </x:c>
    </x:row>
    <x:row r="9">
      <x:c r="A9" s="12" t="str">
        <x:v>UAT-08</x:v>
      </x:c>
      <x:c r="B9" s="12" t="str">
        <x:v>Gangguan teknis</x:v>
      </x:c>
      <x:c r="C9" s="12" t="str">
        <x:v>Session STARTED</x:v>
      </x:c>
      <x:c r="D9" s="12" t="str">
        <x:v>Putuskan jaringan lokasi terdakwa</x:v>
      </x:c>
      <x:c r="E9" s="12" t="str">
        <x:v>Incident, suspend, fallback, resume atau postpone</x:v>
      </x:c>
      <x:c r="F9" s="12" t="str">
        <x:v>Tim TI</x:v>
      </x:c>
      <x:c r="G9" s="12" t="str">
        <x:v>Incident timeline</x:v>
      </x:c>
      <x:c r="H9" s="12" t="str">
        <x:v>Not Started</x:v>
      </x:c>
    </x:row>
    <x:row r="10">
      <x:c r="A10" s="12" t="str">
        <x:v>UAT-09</x:v>
      </x:c>
      <x:c r="B10" s="12" t="str">
        <x:v>Insiden siber</x:v>
      </x:c>
      <x:c r="C10" s="12" t="str">
        <x:v>Webhook malicious tersedia</x:v>
      </x:c>
      <x:c r="D10" s="12" t="str">
        <x:v>Kirim signature tidak valid atau simulasi token leak</x:v>
      </x:c>
      <x:c r="E10" s="12" t="str">
        <x:v>Isolasi, timer, evidence, escalation</x:v>
      </x:c>
      <x:c r="F10" s="12" t="str">
        <x:v>Security</x:v>
      </x:c>
      <x:c r="G10" s="12" t="str">
        <x:v>SIEM and incident evidence</x:v>
      </x:c>
      <x:c r="H10" s="12" t="str">
        <x:v>Not Started</x:v>
      </x:c>
    </x:row>
    <x:row r="11">
      <x:c r="A11" s="12" t="str">
        <x:v>UAT-10</x:v>
      </x:c>
      <x:c r="B11" s="12" t="str">
        <x:v>Keadaan kahar</x:v>
      </x:c>
      <x:c r="C11" s="12" t="str">
        <x:v>Hearing terjadwal</x:v>
      </x:c>
      <x:c r="D11" s="12" t="str">
        <x:v>Simulasikan outage besar</x:v>
      </x:c>
      <x:c r="E11" s="12" t="str">
        <x:v>Notice tertulis, timer, reschedule</x:v>
      </x:c>
      <x:c r="F11" s="12" t="str">
        <x:v>Pejabat Penghubung</x:v>
      </x:c>
      <x:c r="G11" s="12" t="str">
        <x:v>Force majeure record</x:v>
      </x:c>
      <x:c r="H11" s="12" t="str">
        <x:v>Not Started</x:v>
      </x:c>
    </x:row>
    <x:row r="12">
      <x:c r="A12" s="12" t="str">
        <x:v>UAT-11</x:v>
      </x:c>
      <x:c r="B12" s="12" t="str">
        <x:v>Mutasi tahanan</x:v>
      </x:c>
      <x:c r="C12" s="12" t="str">
        <x:v>Terdakwa dipindah unit</x:v>
      </x:c>
      <x:c r="D12" s="12" t="str">
        <x:v>Ubah custody location</x:v>
      </x:c>
      <x:c r="E12" s="12" t="str">
        <x:v>Access transfer, checklist dan test ulang</x:v>
      </x:c>
      <x:c r="F12" s="12" t="str">
        <x:v>Pemasyarakatan</x:v>
      </x:c>
      <x:c r="G12" s="12" t="str">
        <x:v>Transfer and readiness evidence</x:v>
      </x:c>
      <x:c r="H12" s="12" t="str">
        <x:v>Not Started</x:v>
      </x:c>
    </x:row>
    <x:row r="13">
      <x:c r="A13" s="12" t="str">
        <x:v>UAT-12</x:v>
      </x:c>
      <x:c r="B13" s="12" t="str">
        <x:v>Putusan banding</x:v>
      </x:c>
      <x:c r="C13" s="12" t="str">
        <x:v>Decision reading scheduled</x:v>
      </x:c>
      <x:c r="D13" s="12" t="str">
        <x:v>Jalankan notice chain dan publication event</x:v>
      </x:c>
      <x:c r="E13" s="12" t="str">
        <x:v>Presence, same-day excerpt, seven-day transmission, deadline</x:v>
      </x:c>
      <x:c r="F13" s="12" t="str">
        <x:v>Pengadilan Tinggi</x:v>
      </x:c>
      <x:c r="G13" s="12" t="str">
        <x:v>Appeal workflow evidence</x:v>
      </x:c>
      <x:c r="H13" s="12" t="str">
        <x:v>Not Started</x:v>
      </x:c>
    </x:row>
    <x:row r="14">
      <x:c r="A14" s="12" t="str">
        <x:v>UAT-13</x:v>
      </x:c>
      <x:c r="B14" s="12" t="str">
        <x:v>Provider outage</x:v>
      </x:c>
      <x:c r="C14" s="12" t="str">
        <x:v>Provider utama DOWN</x:v>
      </x:c>
      <x:c r="D14" s="12" t="str">
        <x:v>Aktifkan fallback yang disetujui</x:v>
      </x:c>
      <x:c r="E14" s="12" t="str">
        <x:v>Session dan token baru, notice ulang, audit</x:v>
      </x:c>
      <x:c r="F14" s="12" t="str">
        <x:v>Tim TI</x:v>
      </x:c>
      <x:c r="G14" s="12" t="str">
        <x:v>Health and fallback log</x:v>
      </x:c>
      <x:c r="H14" s="12" t="str">
        <x:v>Not Started</x:v>
      </x:c>
    </x:row>
    <x:row r="15">
      <x:c r="A15" s="12" t="str">
        <x:v>UAT-14</x:v>
      </x:c>
      <x:c r="B15" s="12" t="str">
        <x:v>Akses tidak sah</x:v>
      </x:c>
      <x:c r="C15" s="12" t="str">
        <x:v>Admin tidak assigned</x:v>
      </x:c>
      <x:c r="D15" s="12" t="str">
        <x:v>Akses detail case atau dokumen</x:v>
      </x:c>
      <x:c r="E15" s="12" t="str">
        <x:v>403, security event, audit</x:v>
      </x:c>
      <x:c r="F15" s="12" t="str">
        <x:v>Security</x:v>
      </x:c>
      <x:c r="G15" s="12" t="str">
        <x:v>Access denial evidence</x:v>
      </x:c>
      <x:c r="H15" s="12" t="str">
        <x:v>Not Started</x:v>
      </x:c>
    </x:row>
  </x:sheetData>
  <x:conditionalFormatting sqref="H2:H15">
    <x:cfRule type="expression" dxfId="5" priority="1">
      <x:formula>H2="Passed"</x:formula>
    </x:cfRule>
    <x:cfRule type="expression" dxfId="6" priority="2">
      <x:formula>H2="Failed"</x:formula>
    </x:cfRule>
  </x:conditionalFormatting>
  <x:dataValidations count="1">
    <x:dataValidation type="list" sqref="H2:H15">
      <x:formula1>"Not Started,Ready,Running,Passed,Failed,Blocked"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1208f7d4545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6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44" hidden="0" customWidth="1"/>
    <x:col min="9" max="9" width="22" hidden="0" customWidth="1"/>
    <x:col min="10" max="10" width="14" hidden="0" customWidth="1"/>
  </x:cols>
  <x:sheetData>
    <x:row r="1">
      <x:c r="A1" s="6" t="str">
        <x:v>Risk ID</x:v>
      </x:c>
      <x:c r="B1" s="6" t="str">
        <x:v>Risk</x:v>
      </x:c>
      <x:c r="C1" s="6" t="str">
        <x:v>Category</x:v>
      </x:c>
      <x:c r="D1" s="6" t="str">
        <x:v>Probability</x:v>
      </x:c>
      <x:c r="E1" s="6" t="str">
        <x:v>Impact</x:v>
      </x:c>
      <x:c r="F1" s="6" t="str">
        <x:v>Score</x:v>
      </x:c>
      <x:c r="G1" s="6" t="str">
        <x:v>Rating</x:v>
      </x:c>
      <x:c r="H1" s="6" t="str">
        <x:v>Mitigation</x:v>
      </x:c>
      <x:c r="I1" s="6" t="str">
        <x:v>Owner</x:v>
      </x:c>
      <x:c r="J1" s="6" t="str">
        <x:v>Status</x:v>
      </x:c>
    </x:row>
    <x:row r="2">
      <x:c r="A2" s="12" t="str">
        <x:v>R-01</x:v>
      </x:c>
      <x:c r="B2" s="12" t="str">
        <x:v>Perubahan kewenangan atau alur setelah coding dimulai</x:v>
      </x:c>
      <x:c r="C2" s="12" t="str">
        <x:v>Governance</x:v>
      </x:c>
      <x:c r="D2" s="12" t="n">
        <x:v>3</x:v>
      </x:c>
      <x:c r="E2" s="12" t="n">
        <x:v>5</x:v>
      </x:c>
      <x:c r="F2" s="12" t="n">
        <x:f>D2*E2</x:f>
        <x:v>15</x:v>
      </x:c>
      <x:c r="G2" s="12" t="str">
        <x:f>IF(F2&gt;=20,"Critical",IF(F2&gt;=12,"High",IF(F2&gt;=6,"Medium","Low")))</x:f>
        <x:v>High</x:v>
      </x:c>
      <x:c r="H2" s="12" t="str">
        <x:v>Baseline dan change control lintas instansi</x:v>
      </x:c>
      <x:c r="I2" s="12" t="str">
        <x:v>Product Council</x:v>
      </x:c>
      <x:c r="J2" s="12" t="str">
        <x:v>Open</x:v>
      </x:c>
    </x:row>
    <x:row r="3">
      <x:c r="A3" s="12" t="str">
        <x:v>R-02</x:v>
      </x:c>
      <x:c r="B3" s="12" t="str">
        <x:v>Dual record dengan sistem resmi</x:v>
      </x:c>
      <x:c r="C3" s="12" t="str">
        <x:v>Data</x:v>
      </x:c>
      <x:c r="D3" s="12" t="n">
        <x:v>4</x:v>
      </x:c>
      <x:c r="E3" s="12" t="n">
        <x:v>5</x:v>
      </x:c>
      <x:c r="F3" s="12" t="n">
        <x:f>D3*E3</x:f>
        <x:v>20</x:v>
      </x:c>
      <x:c r="G3" s="12" t="str">
        <x:f>IF(F3&gt;=20,"Critical",IF(F3&gt;=12,"High",IF(F3&gt;=6,"Medium","Low")))</x:f>
        <x:v>Critical</x:v>
      </x:c>
      <x:c r="H3" s="12" t="str">
        <x:v>Reference-first, reconciliation, hash</x:v>
      </x:c>
      <x:c r="I3" s="12" t="str">
        <x:v>Data Owner</x:v>
      </x:c>
      <x:c r="J3" s="12" t="str">
        <x:v>Open</x:v>
      </x:c>
    </x:row>
    <x:row r="4">
      <x:c r="A4" s="12" t="str">
        <x:v>R-03</x:v>
      </x:c>
      <x:c r="B4" s="12" t="str">
        <x:v>Notification gateway tidak menghasilkan bukti yang memadai</x:v>
      </x:c>
      <x:c r="C4" s="12" t="str">
        <x:v>Integration</x:v>
      </x:c>
      <x:c r="D4" s="12" t="n">
        <x:v>3</x:v>
      </x:c>
      <x:c r="E4" s="12" t="n">
        <x:v>5</x:v>
      </x:c>
      <x:c r="F4" s="12" t="n">
        <x:f>D4*E4</x:f>
        <x:v>15</x:v>
      </x:c>
      <x:c r="G4" s="12" t="str">
        <x:f>IF(F4&gt;=20,"Critical",IF(F4&gt;=12,"High",IF(F4&gt;=6,"Medium","Low")))</x:f>
        <x:v>High</x:v>
      </x:c>
      <x:c r="H4" s="12" t="str">
        <x:v>Provider assessment, signed proof, fallback</x:v>
      </x:c>
      <x:c r="I4" s="12" t="str">
        <x:v>Integration Owner</x:v>
      </x:c>
      <x:c r="J4" s="12" t="str">
        <x:v>Open</x:v>
      </x:c>
    </x:row>
    <x:row r="5">
      <x:c r="A5" s="12" t="str">
        <x:v>R-04</x:v>
      </x:c>
      <x:c r="B5" s="12" t="str">
        <x:v>Video provider outage saat sidang</x:v>
      </x:c>
      <x:c r="C5" s="12" t="str">
        <x:v>Availability</x:v>
      </x:c>
      <x:c r="D5" s="12" t="n">
        <x:v>4</x:v>
      </x:c>
      <x:c r="E5" s="12" t="n">
        <x:v>5</x:v>
      </x:c>
      <x:c r="F5" s="12" t="n">
        <x:f>D5*E5</x:f>
        <x:v>20</x:v>
      </x:c>
      <x:c r="G5" s="12" t="str">
        <x:f>IF(F5&gt;=20,"Critical",IF(F5&gt;=12,"High",IF(F5&gt;=6,"Medium","Low")))</x:f>
        <x:v>Critical</x:v>
      </x:c>
      <x:c r="H5" s="12" t="str">
        <x:v>Health check, fallback, rehearsal, runbook</x:v>
      </x:c>
      <x:c r="I5" s="12" t="str">
        <x:v>SRE</x:v>
      </x:c>
      <x:c r="J5" s="12" t="str">
        <x:v>Open</x:v>
      </x:c>
    </x:row>
    <x:row r="6">
      <x:c r="A6" s="12" t="str">
        <x:v>R-05</x:v>
      </x:c>
      <x:c r="B6" s="12" t="str">
        <x:v>Unauthorized access lintas perkara</x:v>
      </x:c>
      <x:c r="C6" s="12" t="str">
        <x:v>Security</x:v>
      </x:c>
      <x:c r="D6" s="12" t="n">
        <x:v>3</x:v>
      </x:c>
      <x:c r="E6" s="12" t="n">
        <x:v>5</x:v>
      </x:c>
      <x:c r="F6" s="12" t="n">
        <x:f>D6*E6</x:f>
        <x:v>15</x:v>
      </x:c>
      <x:c r="G6" s="12" t="str">
        <x:f>IF(F6&gt;=20,"Critical",IF(F6&gt;=12,"High",IF(F6&gt;=6,"Medium","Low")))</x:f>
        <x:v>High</x:v>
      </x:c>
      <x:c r="H6" s="12" t="str">
        <x:v>RBAC, ABAC, assignment, access review</x:v>
      </x:c>
      <x:c r="I6" s="12" t="str">
        <x:v>Security Lead</x:v>
      </x:c>
      <x:c r="J6" s="12" t="str">
        <x:v>Open</x:v>
      </x:c>
    </x:row>
    <x:row r="7">
      <x:c r="A7" s="12" t="str">
        <x:v>R-06</x:v>
      </x:c>
      <x:c r="B7" s="12" t="str">
        <x:v>Host secret atau join token bocor</x:v>
      </x:c>
      <x:c r="C7" s="12" t="str">
        <x:v>Security</x:v>
      </x:c>
      <x:c r="D7" s="12" t="n">
        <x:v>3</x:v>
      </x:c>
      <x:c r="E7" s="12" t="n">
        <x:v>5</x:v>
      </x:c>
      <x:c r="F7" s="12" t="n">
        <x:f>D7*E7</x:f>
        <x:v>15</x:v>
      </x:c>
      <x:c r="G7" s="12" t="str">
        <x:f>IF(F7&gt;=20,"Critical",IF(F7&gt;=12,"High",IF(F7&gt;=6,"Medium","Low")))</x:f>
        <x:v>High</x:v>
      </x:c>
      <x:c r="H7" s="12" t="str">
        <x:v>Secret manager, redaction, short TTL, revoke</x:v>
      </x:c>
      <x:c r="I7" s="12" t="str">
        <x:v>Security Lead</x:v>
      </x:c>
      <x:c r="J7" s="12" t="str">
        <x:v>Open</x:v>
      </x:c>
    </x:row>
    <x:row r="8">
      <x:c r="A8" s="12" t="str">
        <x:v>R-07</x:v>
      </x:c>
      <x:c r="B8" s="12" t="str">
        <x:v>Protected participant identity terbuka</x:v>
      </x:c>
      <x:c r="C8" s="12" t="str">
        <x:v>Privacy</x:v>
      </x:c>
      <x:c r="D8" s="12" t="n">
        <x:v>2</x:v>
      </x:c>
      <x:c r="E8" s="12" t="n">
        <x:v>5</x:v>
      </x:c>
      <x:c r="F8" s="12" t="n">
        <x:f>D8*E8</x:f>
        <x:v>10</x:v>
      </x:c>
      <x:c r="G8" s="12" t="str">
        <x:f>IF(F8&gt;=20,"Critical",IF(F8&gt;=12,"High",IF(F8&gt;=6,"Medium","Low")))</x:f>
        <x:v>Medium</x:v>
      </x:c>
      <x:c r="H8" s="12" t="str">
        <x:v>Alias, masking, restricted roster, negative test</x:v>
      </x:c>
      <x:c r="I8" s="12" t="str">
        <x:v>Privacy Owner</x:v>
      </x:c>
      <x:c r="J8" s="12" t="str">
        <x:v>Open</x:v>
      </x:c>
    </x:row>
    <x:row r="9">
      <x:c r="A9" s="12" t="str">
        <x:v>R-08</x:v>
      </x:c>
      <x:c r="B9" s="12" t="str">
        <x:v>UAT tidak mewakili tiga instansi</x:v>
      </x:c>
      <x:c r="C9" s="12" t="str">
        <x:v>Adoption</x:v>
      </x:c>
      <x:c r="D9" s="12" t="n">
        <x:v>3</x:v>
      </x:c>
      <x:c r="E9" s="12" t="n">
        <x:v>4</x:v>
      </x:c>
      <x:c r="F9" s="12" t="n">
        <x:f>D9*E9</x:f>
        <x:v>12</x:v>
      </x:c>
      <x:c r="G9" s="12" t="str">
        <x:f>IF(F9&gt;=20,"Critical",IF(F9&gt;=12,"High",IF(F9&gt;=6,"Medium","Low")))</x:f>
        <x:v>High</x:v>
      </x:c>
      <x:c r="H9" s="12" t="str">
        <x:v>Named process owner and cross-institution scenarios</x:v>
      </x:c>
      <x:c r="I9" s="12" t="str">
        <x:v>QA Lead</x:v>
      </x:c>
      <x:c r="J9" s="12" t="str">
        <x:v>Open</x:v>
      </x:c>
    </x:row>
    <x:row r="10">
      <x:c r="A10" s="12" t="str">
        <x:v>R-09</x:v>
      </x:c>
      <x:c r="B10" s="12" t="str">
        <x:v>Environment sandbox belum tersedia</x:v>
      </x:c>
      <x:c r="C10" s="12" t="str">
        <x:v>Dependency</x:v>
      </x:c>
      <x:c r="D10" s="12" t="n">
        <x:v>4</x:v>
      </x:c>
      <x:c r="E10" s="12" t="n">
        <x:v>4</x:v>
      </x:c>
      <x:c r="F10" s="12" t="n">
        <x:f>D10*E10</x:f>
        <x:v>16</x:v>
      </x:c>
      <x:c r="G10" s="12" t="str">
        <x:f>IF(F10&gt;=20,"Critical",IF(F10&gt;=12,"High",IF(F10&gt;=6,"Medium","Low")))</x:f>
        <x:v>High</x:v>
      </x:c>
      <x:c r="H10" s="12" t="str">
        <x:v>Mock provider and early procurement</x:v>
      </x:c>
      <x:c r="I10" s="12" t="str">
        <x:v>Project Manager</x:v>
      </x:c>
      <x:c r="J10" s="12" t="str">
        <x:v>Open</x:v>
      </x:c>
    </x:row>
    <x:row r="11">
      <x:c r="A11" s="12" t="str">
        <x:v>R-10</x:v>
      </x:c>
      <x:c r="B11" s="12" t="str">
        <x:v>Target performa tidak realistis</x:v>
      </x:c>
      <x:c r="C11" s="12" t="str">
        <x:v>Performance</x:v>
      </x:c>
      <x:c r="D11" s="12" t="n">
        <x:v>3</x:v>
      </x:c>
      <x:c r="E11" s="12" t="n">
        <x:v>3</x:v>
      </x:c>
      <x:c r="F11" s="12" t="n">
        <x:f>D11*E11</x:f>
        <x:v>9</x:v>
      </x:c>
      <x:c r="G11" s="12" t="str">
        <x:f>IF(F11&gt;=20,"Critical",IF(F11&gt;=12,"High",IF(F11&gt;=6,"Medium","Low")))</x:f>
        <x:v>Medium</x:v>
      </x:c>
      <x:c r="H11" s="12" t="str">
        <x:v>Capacity model and baseline test</x:v>
      </x:c>
      <x:c r="I11" s="12" t="str">
        <x:v>Architect</x:v>
      </x:c>
      <x:c r="J11" s="12" t="str">
        <x:v>Open</x:v>
      </x:c>
    </x:row>
    <x:row r="12">
      <x:c r="A12" s="12" t="str">
        <x:v>R-11</x:v>
      </x:c>
      <x:c r="B12" s="12" t="str">
        <x:v>Audit log dapat diubah privileged user</x:v>
      </x:c>
      <x:c r="C12" s="12" t="str">
        <x:v>Security</x:v>
      </x:c>
      <x:c r="D12" s="12" t="n">
        <x:v>2</x:v>
      </x:c>
      <x:c r="E12" s="12" t="n">
        <x:v>5</x:v>
      </x:c>
      <x:c r="F12" s="12" t="n">
        <x:f>D12*E12</x:f>
        <x:v>10</x:v>
      </x:c>
      <x:c r="G12" s="12" t="str">
        <x:f>IF(F12&gt;=20,"Critical",IF(F12&gt;=12,"High",IF(F12&gt;=6,"Medium","Low")))</x:f>
        <x:v>Medium</x:v>
      </x:c>
      <x:c r="H12" s="12" t="str">
        <x:v>Append-only store, separation of duties</x:v>
      </x:c>
      <x:c r="I12" s="12" t="str">
        <x:v>Security Lead</x:v>
      </x:c>
      <x:c r="J12" s="12" t="str">
        <x:v>Open</x:v>
      </x:c>
    </x:row>
    <x:row r="13">
      <x:c r="A13" s="12" t="str">
        <x:v>R-12</x:v>
      </x:c>
      <x:c r="B13" s="12" t="str">
        <x:v>Scope AI masuk terlalu awal</x:v>
      </x:c>
      <x:c r="C13" s="12" t="str">
        <x:v>Scope</x:v>
      </x:c>
      <x:c r="D13" s="12" t="n">
        <x:v>3</x:v>
      </x:c>
      <x:c r="E13" s="12" t="n">
        <x:v>4</x:v>
      </x:c>
      <x:c r="F13" s="12" t="n">
        <x:f>D13*E13</x:f>
        <x:v>12</x:v>
      </x:c>
      <x:c r="G13" s="12" t="str">
        <x:f>IF(F13&gt;=20,"Critical",IF(F13&gt;=12,"High",IF(F13&gt;=6,"Medium","Low")))</x:f>
        <x:v>High</x:v>
      </x:c>
      <x:c r="H13" s="12" t="str">
        <x:v>Explicit out-of-scope and backlog gate</x:v>
      </x:c>
      <x:c r="I13" s="12" t="str">
        <x:v>Product Owner</x:v>
      </x:c>
      <x:c r="J13" s="12" t="str">
        <x:v>Open</x:v>
      </x:c>
    </x:row>
  </x:sheetData>
  <x:conditionalFormatting sqref="G2:G13">
    <x:cfRule type="expression" dxfId="7" priority="1">
      <x:formula>G2="Critical"</x:formula>
    </x:cfRule>
    <x:cfRule type="expression" dxfId="8" priority="2">
      <x:formula>G2="High"</x:formula>
    </x:cfRule>
    <x:cfRule type="expression" dxfId="9" priority="3">
      <x:formula>G2="Medium"</x:formula>
    </x:cfRule>
  </x:conditionalFormatting>
  <x:dataValidations count="2">
    <x:dataValidation type="list" sqref="D2:E13">
      <x:formula1>"1,2,3,4,5"</x:formula1>
    </x:dataValidation>
    <x:dataValidation type="list" sqref="J2:J13">
      <x:formula1>"Open,Mitigating,Accepted,Closed"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8263a998f247a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60" hidden="0" customWidth="1"/>
    <x:col min="4" max="4" width="12" hidden="0" customWidth="1"/>
    <x:col min="5" max="5" width="20" hidden="0" customWidth="1"/>
    <x:col min="6" max="6" width="30" hidden="0" customWidth="1"/>
    <x:col min="7" max="7" width="15" hidden="0" customWidth="1"/>
  </x:cols>
  <x:sheetData>
    <x:row r="1">
      <x:c r="A1" s="6" t="str">
        <x:v>Checklist ID</x:v>
      </x:c>
      <x:c r="B1" s="6" t="str">
        <x:v>Type</x:v>
      </x:c>
      <x:c r="C1" s="6" t="str">
        <x:v>Checklist Item</x:v>
      </x:c>
      <x:c r="D1" s="6" t="str">
        <x:v>Mandatory</x:v>
      </x:c>
      <x:c r="E1" s="6" t="str">
        <x:v>Owner</x:v>
      </x:c>
      <x:c r="F1" s="6" t="str">
        <x:v>Evidence</x:v>
      </x:c>
      <x:c r="G1" s="6" t="str">
        <x:v>Status</x:v>
      </x:c>
    </x:row>
    <x:row r="2">
      <x:c r="A2" s="12" t="str">
        <x:v>CHK-001</x:v>
      </x:c>
      <x:c r="B2" s="12" t="str">
        <x:v>Definition of Ready</x:v>
      </x:c>
      <x:c r="C2" s="12" t="str">
        <x:v>Business value, owner, priority, source requirement, and scope are clear</x:v>
      </x:c>
      <x:c r="D2" s="12" t="str">
        <x:v>Yes</x:v>
      </x:c>
      <x:c r="E2" s="12" t="str">
        <x:v>BA or SA</x:v>
      </x:c>
      <x:c r="F2" s="12" t="str"/>
      <x:c r="G2" s="12" t="str">
        <x:v>Not Started</x:v>
      </x:c>
    </x:row>
    <x:row r="3">
      <x:c r="A3" s="12" t="str">
        <x:v>CHK-002</x:v>
      </x:c>
      <x:c r="B3" s="12" t="str">
        <x:v>Definition of Ready</x:v>
      </x:c>
      <x:c r="C3" s="12" t="str">
        <x:v>Acceptance criteria cover positive, negative, authorization, audit, and error behavior</x:v>
      </x:c>
      <x:c r="D3" s="12" t="str">
        <x:v>Yes</x:v>
      </x:c>
      <x:c r="E3" s="12" t="str">
        <x:v>BA or SA</x:v>
      </x:c>
      <x:c r="F3" s="12" t="str"/>
      <x:c r="G3" s="12" t="str">
        <x:v>Not Started</x:v>
      </x:c>
    </x:row>
    <x:row r="4">
      <x:c r="A4" s="12" t="str">
        <x:v>CHK-003</x:v>
      </x:c>
      <x:c r="B4" s="12" t="str">
        <x:v>Definition of Ready</x:v>
      </x:c>
      <x:c r="C4" s="12" t="str">
        <x:v>Entity, API, event, permission, and dependency are identified</x:v>
      </x:c>
      <x:c r="D4" s="12" t="str">
        <x:v>Yes</x:v>
      </x:c>
      <x:c r="E4" s="12" t="str">
        <x:v>BA or SA</x:v>
      </x:c>
      <x:c r="F4" s="12" t="str"/>
      <x:c r="G4" s="12" t="str">
        <x:v>Not Started</x:v>
      </x:c>
    </x:row>
    <x:row r="5">
      <x:c r="A5" s="12" t="str">
        <x:v>CHK-004</x:v>
      </x:c>
      <x:c r="B5" s="12" t="str">
        <x:v>Definition of Ready</x:v>
      </x:c>
      <x:c r="C5" s="12" t="str">
        <x:v>Data classification, privacy impact, and retention are assessed</x:v>
      </x:c>
      <x:c r="D5" s="12" t="str">
        <x:v>Yes</x:v>
      </x:c>
      <x:c r="E5" s="12" t="str">
        <x:v>BA or SA</x:v>
      </x:c>
      <x:c r="F5" s="12" t="str"/>
      <x:c r="G5" s="12" t="str">
        <x:v>Not Started</x:v>
      </x:c>
    </x:row>
    <x:row r="6">
      <x:c r="A6" s="12" t="str">
        <x:v>CHK-005</x:v>
      </x:c>
      <x:c r="B6" s="12" t="str">
        <x:v>Definition of Ready</x:v>
      </x:c>
      <x:c r="C6" s="12" t="str">
        <x:v>Prototype or workflow example exists for user-facing changes</x:v>
      </x:c>
      <x:c r="D6" s="12" t="str">
        <x:v>Yes</x:v>
      </x:c>
      <x:c r="E6" s="12" t="str">
        <x:v>BA or SA</x:v>
      </x:c>
      <x:c r="F6" s="12" t="str"/>
      <x:c r="G6" s="12" t="str">
        <x:v>Not Started</x:v>
      </x:c>
    </x:row>
    <x:row r="7">
      <x:c r="A7" s="12" t="str">
        <x:v>CHK-006</x:v>
      </x:c>
      <x:c r="B7" s="12" t="str">
        <x:v>Definition of Ready</x:v>
      </x:c>
      <x:c r="C7" s="12" t="str">
        <x:v>Test data, mock, feature flag, and observability are prepared</x:v>
      </x:c>
      <x:c r="D7" s="12" t="str">
        <x:v>Yes</x:v>
      </x:c>
      <x:c r="E7" s="12" t="str">
        <x:v>BA or SA</x:v>
      </x:c>
      <x:c r="F7" s="12" t="str"/>
      <x:c r="G7" s="12" t="str">
        <x:v>Not Started</x:v>
      </x:c>
    </x:row>
    <x:row r="8">
      <x:c r="A8" s="12" t="str">
        <x:v>CHK-007</x:v>
      </x:c>
      <x:c r="B8" s="12" t="str">
        <x:v>Definition of Ready</x:v>
      </x:c>
      <x:c r="C8" s="12" t="str">
        <x:v>No legal decision or formal authority is delegated to the system without basis</x:v>
      </x:c>
      <x:c r="D8" s="12" t="str">
        <x:v>Yes</x:v>
      </x:c>
      <x:c r="E8" s="12" t="str">
        <x:v>BA or SA</x:v>
      </x:c>
      <x:c r="F8" s="12" t="str"/>
      <x:c r="G8" s="12" t="str">
        <x:v>Not Started</x:v>
      </x:c>
    </x:row>
    <x:row r="9">
      <x:c r="A9" s="12" t="str">
        <x:v>CHK-008</x:v>
      </x:c>
      <x:c r="B9" s="12" t="str">
        <x:v>Definition of Done</x:v>
      </x:c>
      <x:c r="C9" s="12" t="str">
        <x:v>Code review and automated tests pass</x:v>
      </x:c>
      <x:c r="D9" s="12" t="str">
        <x:v>Yes</x:v>
      </x:c>
      <x:c r="E9" s="12" t="str">
        <x:v>Delivery Team</x:v>
      </x:c>
      <x:c r="F9" s="12" t="str"/>
      <x:c r="G9" s="12" t="str">
        <x:v>Not Started</x:v>
      </x:c>
    </x:row>
    <x:row r="10">
      <x:c r="A10" s="12" t="str">
        <x:v>CHK-009</x:v>
      </x:c>
      <x:c r="B10" s="12" t="str">
        <x:v>Definition of Done</x:v>
      </x:c>
      <x:c r="C10" s="12" t="str">
        <x:v>Authorization, state transition, audit, idempotency, and correlation ID are tested</x:v>
      </x:c>
      <x:c r="D10" s="12" t="str">
        <x:v>Yes</x:v>
      </x:c>
      <x:c r="E10" s="12" t="str">
        <x:v>Delivery Team</x:v>
      </x:c>
      <x:c r="F10" s="12" t="str"/>
      <x:c r="G10" s="12" t="str">
        <x:v>Not Started</x:v>
      </x:c>
    </x:row>
    <x:row r="11">
      <x:c r="A11" s="12" t="str">
        <x:v>CHK-010</x:v>
      </x:c>
      <x:c r="B11" s="12" t="str">
        <x:v>Definition of Done</x:v>
      </x:c>
      <x:c r="C11" s="12" t="str">
        <x:v>API, migration, runbook, release note, and user help are updated</x:v>
      </x:c>
      <x:c r="D11" s="12" t="str">
        <x:v>Yes</x:v>
      </x:c>
      <x:c r="E11" s="12" t="str">
        <x:v>Delivery Team</x:v>
      </x:c>
      <x:c r="F11" s="12" t="str"/>
      <x:c r="G11" s="12" t="str">
        <x:v>Not Started</x:v>
      </x:c>
    </x:row>
    <x:row r="12">
      <x:c r="A12" s="12" t="str">
        <x:v>CHK-011</x:v>
      </x:c>
      <x:c r="B12" s="12" t="str">
        <x:v>Definition of Done</x:v>
      </x:c>
      <x:c r="C12" s="12" t="str">
        <x:v>Critical and high security findings are closed or formally accepted</x:v>
      </x:c>
      <x:c r="D12" s="12" t="str">
        <x:v>Yes</x:v>
      </x:c>
      <x:c r="E12" s="12" t="str">
        <x:v>Delivery Team</x:v>
      </x:c>
      <x:c r="F12" s="12" t="str"/>
      <x:c r="G12" s="12" t="str">
        <x:v>Not Started</x:v>
      </x:c>
    </x:row>
    <x:row r="13">
      <x:c r="A13" s="12" t="str">
        <x:v>CHK-012</x:v>
      </x:c>
      <x:c r="B13" s="12" t="str">
        <x:v>Definition of Done</x:v>
      </x:c>
      <x:c r="C13" s="12" t="str">
        <x:v>No sensitive data or secret appears in unauthorized logs or responses</x:v>
      </x:c>
      <x:c r="D13" s="12" t="str">
        <x:v>Yes</x:v>
      </x:c>
      <x:c r="E13" s="12" t="str">
        <x:v>Delivery Team</x:v>
      </x:c>
      <x:c r="F13" s="12" t="str"/>
      <x:c r="G13" s="12" t="str">
        <x:v>Not Started</x:v>
      </x:c>
    </x:row>
    <x:row r="14">
      <x:c r="A14" s="12" t="str">
        <x:v>CHK-013</x:v>
      </x:c>
      <x:c r="B14" s="12" t="str">
        <x:v>Definition of Done</x:v>
      </x:c>
      <x:c r="C14" s="12" t="str">
        <x:v>Product Owner accepts demonstration and QA signs evidence</x:v>
      </x:c>
      <x:c r="D14" s="12" t="str">
        <x:v>Yes</x:v>
      </x:c>
      <x:c r="E14" s="12" t="str">
        <x:v>Delivery Team</x:v>
      </x:c>
      <x:c r="F14" s="12" t="str"/>
      <x:c r="G14" s="12" t="str">
        <x:v>Not Started</x:v>
      </x:c>
    </x:row>
    <x:row r="15">
      <x:c r="A15" s="12" t="str">
        <x:v>CHK-014</x:v>
      </x:c>
      <x:c r="B15" s="12" t="str">
        <x:v>Definition of Done</x:v>
      </x:c>
      <x:c r="C15" s="12" t="str">
        <x:v>Feature flag, rollback, or forward-fix plan is available</x:v>
      </x:c>
      <x:c r="D15" s="12" t="str">
        <x:v>Yes</x:v>
      </x:c>
      <x:c r="E15" s="12" t="str">
        <x:v>Delivery Team</x:v>
      </x:c>
      <x:c r="F15" s="12" t="str"/>
      <x:c r="G15" s="12" t="str">
        <x:v>Not Started</x:v>
      </x:c>
    </x:row>
  </x:sheetData>
  <x:conditionalFormatting sqref="G2:G15">
    <x:cfRule type="expression" dxfId="10" priority="1">
      <x:formula>G2="Met"</x:formula>
    </x:cfRule>
  </x:conditionalFormatting>
  <x:dataValidations count="1">
    <x:dataValidation type="list" sqref="G2:G15">
      <x:formula1>"Not Started,Met,Not Met,Not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88724b68c6465f"/>
  </x:tableParts>
</x:worksheet>
</file>